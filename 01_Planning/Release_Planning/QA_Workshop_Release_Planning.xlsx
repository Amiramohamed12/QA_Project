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dy gamal\OneDrive\Desktop\QA_Workshop\01_Planning\Release_Planning\"/>
    </mc:Choice>
  </mc:AlternateContent>
  <xr:revisionPtr revIDLastSave="0" documentId="13_ncr:1_{966E407C-D5A2-470A-9425-152A6D0B9B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_1" sheetId="1" r:id="rId1"/>
    <sheet name="📊 Dashboard" sheetId="2" r:id="rId2"/>
    <sheet name="Sprint_2" sheetId="3" r:id="rId3"/>
    <sheet name="Sprint_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4" i="4" l="1"/>
  <c r="C63" i="4"/>
  <c r="C56" i="4"/>
  <c r="C65" i="4" s="1"/>
  <c r="B56" i="4"/>
  <c r="B65" i="4" s="1"/>
  <c r="D55" i="4"/>
  <c r="D54" i="4"/>
  <c r="D53" i="4"/>
  <c r="D52" i="4"/>
  <c r="D51" i="4"/>
  <c r="D50" i="4"/>
  <c r="D49" i="4"/>
  <c r="D56" i="4" s="1"/>
  <c r="C45" i="4"/>
  <c r="C64" i="4" s="1"/>
  <c r="B45" i="4"/>
  <c r="D44" i="4"/>
  <c r="D43" i="4"/>
  <c r="D42" i="4"/>
  <c r="D41" i="4"/>
  <c r="D40" i="4"/>
  <c r="D39" i="4"/>
  <c r="D45" i="4" s="1"/>
  <c r="D38" i="4"/>
  <c r="C34" i="4"/>
  <c r="G8" i="2" s="1"/>
  <c r="B34" i="4"/>
  <c r="B63" i="4" s="1"/>
  <c r="D33" i="4"/>
  <c r="D32" i="4"/>
  <c r="D31" i="4"/>
  <c r="D30" i="4"/>
  <c r="D29" i="4"/>
  <c r="D28" i="4"/>
  <c r="D27" i="4"/>
  <c r="D34" i="4" s="1"/>
  <c r="C23" i="4"/>
  <c r="C62" i="4" s="1"/>
  <c r="B23" i="4"/>
  <c r="B62" i="4" s="1"/>
  <c r="D22" i="4"/>
  <c r="D21" i="4"/>
  <c r="D20" i="4"/>
  <c r="D19" i="4"/>
  <c r="D18" i="4"/>
  <c r="D17" i="4"/>
  <c r="D23" i="4" s="1"/>
  <c r="D16" i="4"/>
  <c r="C12" i="4"/>
  <c r="C61" i="4" s="1"/>
  <c r="B12" i="4"/>
  <c r="B61" i="4" s="1"/>
  <c r="D11" i="4"/>
  <c r="D10" i="4"/>
  <c r="D9" i="4"/>
  <c r="D8" i="4"/>
  <c r="D7" i="4"/>
  <c r="D6" i="4"/>
  <c r="D5" i="4"/>
  <c r="D12" i="4" s="1"/>
  <c r="C65" i="3"/>
  <c r="B64" i="3"/>
  <c r="C63" i="3"/>
  <c r="C62" i="3"/>
  <c r="B62" i="3"/>
  <c r="C61" i="3"/>
  <c r="C56" i="3"/>
  <c r="E10" i="2" s="1"/>
  <c r="B56" i="3"/>
  <c r="B65" i="3" s="1"/>
  <c r="D55" i="3"/>
  <c r="D54" i="3"/>
  <c r="D53" i="3"/>
  <c r="D52" i="3"/>
  <c r="D51" i="3"/>
  <c r="D50" i="3"/>
  <c r="D49" i="3"/>
  <c r="D56" i="3" s="1"/>
  <c r="C45" i="3"/>
  <c r="C64" i="3" s="1"/>
  <c r="B45" i="3"/>
  <c r="D44" i="3"/>
  <c r="D43" i="3"/>
  <c r="D42" i="3"/>
  <c r="D41" i="3"/>
  <c r="D40" i="3"/>
  <c r="D39" i="3"/>
  <c r="D45" i="3" s="1"/>
  <c r="D38" i="3"/>
  <c r="C34" i="3"/>
  <c r="B34" i="3"/>
  <c r="B63" i="3" s="1"/>
  <c r="D33" i="3"/>
  <c r="D32" i="3"/>
  <c r="D31" i="3"/>
  <c r="D30" i="3"/>
  <c r="D29" i="3"/>
  <c r="D28" i="3"/>
  <c r="D27" i="3"/>
  <c r="D34" i="3" s="1"/>
  <c r="C23" i="3"/>
  <c r="B23" i="3"/>
  <c r="D22" i="3"/>
  <c r="D21" i="3"/>
  <c r="D20" i="3"/>
  <c r="D19" i="3"/>
  <c r="D18" i="3"/>
  <c r="D17" i="3"/>
  <c r="D23" i="3" s="1"/>
  <c r="D16" i="3"/>
  <c r="C12" i="3"/>
  <c r="E6" i="2" s="1"/>
  <c r="B12" i="3"/>
  <c r="D6" i="2" s="1"/>
  <c r="D11" i="3"/>
  <c r="D10" i="3"/>
  <c r="D9" i="3"/>
  <c r="D8" i="3"/>
  <c r="D7" i="3"/>
  <c r="D6" i="3"/>
  <c r="D5" i="3"/>
  <c r="D12" i="3" s="1"/>
  <c r="G10" i="2"/>
  <c r="G9" i="2"/>
  <c r="F9" i="2"/>
  <c r="E9" i="2"/>
  <c r="D9" i="2"/>
  <c r="E8" i="2"/>
  <c r="G7" i="2"/>
  <c r="F7" i="2"/>
  <c r="E7" i="2"/>
  <c r="D7" i="2"/>
  <c r="C7" i="2"/>
  <c r="I7" i="2" s="1"/>
  <c r="G6" i="2"/>
  <c r="G11" i="2" s="1"/>
  <c r="C65" i="1"/>
  <c r="B65" i="1"/>
  <c r="C62" i="1"/>
  <c r="B61" i="1"/>
  <c r="C56" i="1"/>
  <c r="C10" i="2" s="1"/>
  <c r="B56" i="1"/>
  <c r="B10" i="2" s="1"/>
  <c r="D55" i="1"/>
  <c r="D54" i="1"/>
  <c r="D53" i="1"/>
  <c r="D52" i="1"/>
  <c r="D51" i="1"/>
  <c r="D50" i="1"/>
  <c r="D49" i="1"/>
  <c r="C45" i="1"/>
  <c r="C9" i="2" s="1"/>
  <c r="I9" i="2" s="1"/>
  <c r="B45" i="1"/>
  <c r="B64" i="1" s="1"/>
  <c r="D44" i="1"/>
  <c r="D43" i="1"/>
  <c r="D42" i="1"/>
  <c r="D41" i="1"/>
  <c r="D40" i="1"/>
  <c r="D39" i="1"/>
  <c r="D38" i="1"/>
  <c r="C34" i="1"/>
  <c r="C8" i="2" s="1"/>
  <c r="I8" i="2" s="1"/>
  <c r="B34" i="1"/>
  <c r="B8" i="2" s="1"/>
  <c r="D33" i="1"/>
  <c r="D32" i="1"/>
  <c r="D31" i="1"/>
  <c r="D30" i="1"/>
  <c r="D29" i="1"/>
  <c r="D28" i="1"/>
  <c r="D27" i="1"/>
  <c r="D34" i="1" s="1"/>
  <c r="C23" i="1"/>
  <c r="B23" i="1"/>
  <c r="B7" i="2" s="1"/>
  <c r="H7" i="2" s="1"/>
  <c r="D22" i="1"/>
  <c r="D21" i="1"/>
  <c r="D20" i="1"/>
  <c r="D19" i="1"/>
  <c r="D17" i="1"/>
  <c r="D16" i="1"/>
  <c r="D23" i="1" s="1"/>
  <c r="C12" i="1"/>
  <c r="C6" i="2" s="1"/>
  <c r="B12" i="1"/>
  <c r="B6" i="2" s="1"/>
  <c r="D11" i="1"/>
  <c r="D10" i="1"/>
  <c r="D9" i="1"/>
  <c r="D8" i="1"/>
  <c r="D6" i="1"/>
  <c r="D5" i="1"/>
  <c r="D12" i="1" s="1"/>
  <c r="D56" i="1" l="1"/>
  <c r="D45" i="1"/>
  <c r="C64" i="1"/>
  <c r="I6" i="2"/>
  <c r="C11" i="2"/>
  <c r="I10" i="2"/>
  <c r="E11" i="2"/>
  <c r="H6" i="2"/>
  <c r="J7" i="2"/>
  <c r="F8" i="2"/>
  <c r="D10" i="2"/>
  <c r="C61" i="1"/>
  <c r="B62" i="1"/>
  <c r="F10" i="2"/>
  <c r="H10" i="2" s="1"/>
  <c r="J10" i="2" s="1"/>
  <c r="B61" i="3"/>
  <c r="B63" i="1"/>
  <c r="B9" i="2"/>
  <c r="H9" i="2" s="1"/>
  <c r="J9" i="2" s="1"/>
  <c r="C63" i="1"/>
  <c r="F6" i="2"/>
  <c r="D8" i="2"/>
  <c r="D11" i="2" s="1"/>
  <c r="H8" i="2" l="1"/>
  <c r="J8" i="2" s="1"/>
  <c r="F11" i="2"/>
  <c r="H11" i="2"/>
  <c r="J6" i="2"/>
  <c r="J11" i="2" s="1"/>
  <c r="B11" i="2"/>
  <c r="I11" i="2"/>
</calcChain>
</file>

<file path=xl/sharedStrings.xml><?xml version="1.0" encoding="utf-8"?>
<sst xmlns="http://schemas.openxmlformats.org/spreadsheetml/2006/main" count="311" uniqueCount="51">
  <si>
    <t>📋  Sprint 1  —  QA Workshop Release Planning</t>
  </si>
  <si>
    <t>👤  Omar Kandeel</t>
  </si>
  <si>
    <t>Day</t>
  </si>
  <si>
    <t>Planned Hours</t>
  </si>
  <si>
    <t>Actual Hours</t>
  </si>
  <si>
    <t>Remaining Hours</t>
  </si>
  <si>
    <t>Status</t>
  </si>
  <si>
    <t>Task / Notes</t>
  </si>
  <si>
    <t>Day 1</t>
  </si>
  <si>
    <t>✅ Done</t>
  </si>
  <si>
    <t>Day 2</t>
  </si>
  <si>
    <t>Day 3</t>
  </si>
  <si>
    <t>Day 4</t>
  </si>
  <si>
    <t>Day 5</t>
  </si>
  <si>
    <t>Day 6</t>
  </si>
  <si>
    <t>Day 7</t>
  </si>
  <si>
    <t>📊 TOTAL</t>
  </si>
  <si>
    <t>👤  Abdelrahman Yasser</t>
  </si>
  <si>
    <t>⏳ Not Started</t>
  </si>
  <si>
    <t>👤  Amr</t>
  </si>
  <si>
    <t>🔄 In Progress</t>
  </si>
  <si>
    <t>👤  Amira</t>
  </si>
  <si>
    <t>👤  Aya</t>
  </si>
  <si>
    <t>📈  Sprint 1 — Team Hours Overview</t>
  </si>
  <si>
    <t>Team Member</t>
  </si>
  <si>
    <t>Omar Kandeel</t>
  </si>
  <si>
    <t>Abdelrahman Yasser</t>
  </si>
  <si>
    <t>Amr</t>
  </si>
  <si>
    <t>Amira</t>
  </si>
  <si>
    <t>Aya</t>
  </si>
  <si>
    <t>📊  QA Workshop — Release Planning Dashboard</t>
  </si>
  <si>
    <t>Team Hours Summary Across All Sprints</t>
  </si>
  <si>
    <t>Sprint 1</t>
  </si>
  <si>
    <t>Sprint 2</t>
  </si>
  <si>
    <t>Sprint 3</t>
  </si>
  <si>
    <t>📊 Totals</t>
  </si>
  <si>
    <t>Planned</t>
  </si>
  <si>
    <t>Actual</t>
  </si>
  <si>
    <t>Total Planned</t>
  </si>
  <si>
    <t>Total Actual</t>
  </si>
  <si>
    <t>Variance</t>
  </si>
  <si>
    <t>👤 Omar Kandeel</t>
  </si>
  <si>
    <t>👤 Abdelrahman Yasser</t>
  </si>
  <si>
    <t>👤 Amr</t>
  </si>
  <si>
    <t>👤 Amira</t>
  </si>
  <si>
    <t>👤 Aya</t>
  </si>
  <si>
    <t>📊 GRAND TOTAL</t>
  </si>
  <si>
    <t>📋  Sprint 2  —  QA Workshop Release Planning</t>
  </si>
  <si>
    <t>📈  Sprint 2 — Team Hours Overview</t>
  </si>
  <si>
    <t>📋  Sprint 3  —  QA Workshop Release Planning</t>
  </si>
  <si>
    <t>📈  Sprint 3 — Team Hours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</si>
</sst>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scheme val="minor"/>
    </font>
    <font>
      <b/>
      <sz val="18"/>
      <color rgb="FFFFFFFF"/>
      <name val="Calibri"/>
    </font>
    <font>
      <sz val="11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rgb="FF1B2A4A"/>
      <name val="Calibri"/>
    </font>
    <font>
      <sz val="11"/>
      <color rgb="FF1A1A1A"/>
      <name val="Calibri"/>
    </font>
    <font>
      <b/>
      <sz val="11"/>
      <color rgb="FF1B2A4A"/>
      <name val="Calibri"/>
    </font>
    <font>
      <b/>
      <sz val="11"/>
      <color rgb="FF1A7A8A"/>
      <name val="Calibri"/>
    </font>
    <font>
      <sz val="11"/>
      <color theme="1"/>
      <name val="Calibri"/>
    </font>
    <font>
      <b/>
      <sz val="14"/>
      <color rgb="FFFFFFFF"/>
      <name val="Calibri"/>
    </font>
    <font>
      <b/>
      <sz val="20"/>
      <color rgb="FFFFFFFF"/>
      <name val="Calibri"/>
    </font>
    <font>
      <i/>
      <sz val="12"/>
      <color rgb="FFFFFFFF"/>
      <name val="Calibri"/>
    </font>
    <font>
      <b/>
      <sz val="10"/>
      <color rgb="FF1B2A4A"/>
      <name val="Calibri"/>
    </font>
    <font>
      <b/>
      <sz val="12"/>
      <color rgb="FF1B2A4A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34708A"/>
        <bgColor rgb="FF34708A"/>
      </patternFill>
    </fill>
    <fill>
      <patternFill patternType="solid">
        <fgColor rgb="FF3D5A99"/>
        <bgColor rgb="FF3D5A99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34495E"/>
        <bgColor rgb="FF34495E"/>
      </patternFill>
    </fill>
    <fill>
      <patternFill patternType="solid">
        <fgColor rgb="FF1A7A8A"/>
        <bgColor rgb="FF1A7A8A"/>
      </patternFill>
    </fill>
    <fill>
      <patternFill patternType="solid">
        <fgColor rgb="FFEBF5FB"/>
        <bgColor rgb="FFEBF5FB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0C040"/>
      </left>
      <right style="medium">
        <color rgb="FFF0C040"/>
      </right>
      <top style="double">
        <color rgb="FFF0C040"/>
      </top>
      <bottom style="medium">
        <color rgb="FFF0C04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64" fontId="6" fillId="5" borderId="4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164" fontId="6" fillId="5" borderId="4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164" fontId="8" fillId="7" borderId="5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/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left" vertical="center" wrapText="1"/>
    </xf>
    <xf numFmtId="164" fontId="6" fillId="10" borderId="4" xfId="0" applyNumberFormat="1" applyFont="1" applyFill="1" applyBorder="1" applyAlignment="1">
      <alignment horizontal="center" vertical="center" wrapText="1"/>
    </xf>
    <xf numFmtId="164" fontId="8" fillId="10" borderId="4" xfId="0" applyNumberFormat="1" applyFont="1" applyFill="1" applyBorder="1" applyAlignment="1">
      <alignment horizontal="center" vertical="center" wrapText="1"/>
    </xf>
    <xf numFmtId="164" fontId="7" fillId="10" borderId="4" xfId="0" applyNumberFormat="1" applyFont="1" applyFill="1" applyBorder="1" applyAlignment="1">
      <alignment horizontal="center" vertical="center" wrapText="1"/>
    </xf>
    <xf numFmtId="164" fontId="8" fillId="6" borderId="4" xfId="0" applyNumberFormat="1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164" fontId="14" fillId="7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Sprint 1: Planned vs Actual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Planned Hours</c:v>
          </c:tx>
          <c:spPr>
            <a:solidFill>
              <a:srgbClr val="3498D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Sprint_1!$A$61:$A$65</c:f>
              <c:strCache>
                <c:ptCount val="5"/>
                <c:pt idx="0">
                  <c:v>Omar Kandeel</c:v>
                </c:pt>
                <c:pt idx="1">
                  <c:v>Abdelrahman Yasser</c:v>
                </c:pt>
                <c:pt idx="2">
                  <c:v>Amr</c:v>
                </c:pt>
                <c:pt idx="3">
                  <c:v>Amira</c:v>
                </c:pt>
                <c:pt idx="4">
                  <c:v>Aya</c:v>
                </c:pt>
              </c:strCache>
            </c:strRef>
          </c:cat>
          <c:val>
            <c:numRef>
              <c:f>Sprint_1!$B$61:$B$65</c:f>
              <c:numCache>
                <c:formatCode>0.0</c:formatCode>
                <c:ptCount val="5"/>
                <c:pt idx="0">
                  <c:v>14</c:v>
                </c:pt>
                <c:pt idx="1">
                  <c:v>12</c:v>
                </c:pt>
                <c:pt idx="2">
                  <c:v>16</c:v>
                </c:pt>
                <c:pt idx="3">
                  <c:v>14</c:v>
                </c:pt>
                <c:pt idx="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D7-4C5B-9D40-942A6424765C}"/>
            </c:ext>
          </c:extLst>
        </c:ser>
        <c:ser>
          <c:idx val="1"/>
          <c:order val="1"/>
          <c:tx>
            <c:v>Actual Hours</c:v>
          </c:tx>
          <c:spPr>
            <a:solidFill>
              <a:srgbClr val="1A7A8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Sprint_1!$A$61:$A$65</c:f>
              <c:strCache>
                <c:ptCount val="5"/>
                <c:pt idx="0">
                  <c:v>Omar Kandeel</c:v>
                </c:pt>
                <c:pt idx="1">
                  <c:v>Abdelrahman Yasser</c:v>
                </c:pt>
                <c:pt idx="2">
                  <c:v>Amr</c:v>
                </c:pt>
                <c:pt idx="3">
                  <c:v>Amira</c:v>
                </c:pt>
                <c:pt idx="4">
                  <c:v>Aya</c:v>
                </c:pt>
              </c:strCache>
            </c:strRef>
          </c:cat>
          <c:val>
            <c:numRef>
              <c:f>Sprint_1!$C$61:$C$65</c:f>
              <c:numCache>
                <c:formatCode>0.0</c:formatCode>
                <c:ptCount val="5"/>
                <c:pt idx="0">
                  <c:v>17</c:v>
                </c:pt>
                <c:pt idx="1">
                  <c:v>5</c:v>
                </c:pt>
                <c:pt idx="2">
                  <c:v>18.5</c:v>
                </c:pt>
                <c:pt idx="3">
                  <c:v>15</c:v>
                </c:pt>
                <c:pt idx="4">
                  <c:v>16.5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5D7-4C5B-9D40-942A64247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367803"/>
        <c:axId val="2019387482"/>
      </c:barChart>
      <c:catAx>
        <c:axId val="312367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Team 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387482"/>
        <c:crosses val="autoZero"/>
        <c:auto val="1"/>
        <c:lblAlgn val="ctr"/>
        <c:lblOffset val="100"/>
        <c:noMultiLvlLbl val="1"/>
      </c:catAx>
      <c:valAx>
        <c:axId val="2019387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2367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Hours: Planned vs Actual (All Sprints)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Planned</c:v>
          </c:tx>
          <c:spPr>
            <a:solidFill>
              <a:srgbClr val="3498D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Dashboard'!$A$6:$A$10</c:f>
              <c:strCache>
                <c:ptCount val="5"/>
                <c:pt idx="0">
                  <c:v>👤 Omar Kandeel</c:v>
                </c:pt>
                <c:pt idx="1">
                  <c:v>👤 Abdelrahman Yasser</c:v>
                </c:pt>
                <c:pt idx="2">
                  <c:v>👤 Amr</c:v>
                </c:pt>
                <c:pt idx="3">
                  <c:v>👤 Amira</c:v>
                </c:pt>
                <c:pt idx="4">
                  <c:v>👤 Aya</c:v>
                </c:pt>
              </c:strCache>
            </c:strRef>
          </c:cat>
          <c:val>
            <c:numRef>
              <c:f>'📊 Dashboard'!$H$6:$H$10</c:f>
              <c:numCache>
                <c:formatCode>0.0</c:formatCode>
                <c:ptCount val="5"/>
                <c:pt idx="0">
                  <c:v>14</c:v>
                </c:pt>
                <c:pt idx="1">
                  <c:v>12</c:v>
                </c:pt>
                <c:pt idx="2">
                  <c:v>16</c:v>
                </c:pt>
                <c:pt idx="3">
                  <c:v>14</c:v>
                </c:pt>
                <c:pt idx="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50-4E3F-B3A6-A6FF8FBB6AA1}"/>
            </c:ext>
          </c:extLst>
        </c:ser>
        <c:ser>
          <c:idx val="1"/>
          <c:order val="1"/>
          <c:tx>
            <c:v>Total Actual</c:v>
          </c:tx>
          <c:spPr>
            <a:solidFill>
              <a:srgbClr val="1A7A8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Dashboard'!$A$6:$A$10</c:f>
              <c:strCache>
                <c:ptCount val="5"/>
                <c:pt idx="0">
                  <c:v>👤 Omar Kandeel</c:v>
                </c:pt>
                <c:pt idx="1">
                  <c:v>👤 Abdelrahman Yasser</c:v>
                </c:pt>
                <c:pt idx="2">
                  <c:v>👤 Amr</c:v>
                </c:pt>
                <c:pt idx="3">
                  <c:v>👤 Amira</c:v>
                </c:pt>
                <c:pt idx="4">
                  <c:v>👤 Aya</c:v>
                </c:pt>
              </c:strCache>
            </c:strRef>
          </c:cat>
          <c:val>
            <c:numRef>
              <c:f>'📊 Dashboard'!$I$6:$I$10</c:f>
              <c:numCache>
                <c:formatCode>0.0</c:formatCode>
                <c:ptCount val="5"/>
                <c:pt idx="0">
                  <c:v>17</c:v>
                </c:pt>
                <c:pt idx="1">
                  <c:v>5</c:v>
                </c:pt>
                <c:pt idx="2">
                  <c:v>18.5</c:v>
                </c:pt>
                <c:pt idx="3">
                  <c:v>15</c:v>
                </c:pt>
                <c:pt idx="4">
                  <c:v>16.5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50-4E3F-B3A6-A6FF8FBB6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487890"/>
        <c:axId val="2042668709"/>
      </c:barChart>
      <c:catAx>
        <c:axId val="2086487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Team 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668709"/>
        <c:crosses val="autoZero"/>
        <c:auto val="1"/>
        <c:lblAlgn val="ctr"/>
        <c:lblOffset val="100"/>
        <c:noMultiLvlLbl val="1"/>
      </c:catAx>
      <c:valAx>
        <c:axId val="2042668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64878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2: Planned vs Actual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Planned Hours</c:v>
          </c:tx>
          <c:spPr>
            <a:solidFill>
              <a:srgbClr val="3498D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Sprint_2!$A$61:$A$65</c:f>
              <c:strCache>
                <c:ptCount val="5"/>
                <c:pt idx="0">
                  <c:v>Omar Kandeel</c:v>
                </c:pt>
                <c:pt idx="1">
                  <c:v>Abdelrahman Yasser</c:v>
                </c:pt>
                <c:pt idx="2">
                  <c:v>Amr</c:v>
                </c:pt>
                <c:pt idx="3">
                  <c:v>Amira</c:v>
                </c:pt>
                <c:pt idx="4">
                  <c:v>Aya</c:v>
                </c:pt>
              </c:strCache>
            </c:strRef>
          </c:cat>
          <c:val>
            <c:numRef>
              <c:f>Sprint_2!$B$61:$B$65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90-40D5-B70D-4257843057FD}"/>
            </c:ext>
          </c:extLst>
        </c:ser>
        <c:ser>
          <c:idx val="1"/>
          <c:order val="1"/>
          <c:tx>
            <c:v>Actual Hours</c:v>
          </c:tx>
          <c:spPr>
            <a:solidFill>
              <a:srgbClr val="1A7A8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Sprint_2!$A$61:$A$65</c:f>
              <c:strCache>
                <c:ptCount val="5"/>
                <c:pt idx="0">
                  <c:v>Omar Kandeel</c:v>
                </c:pt>
                <c:pt idx="1">
                  <c:v>Abdelrahman Yasser</c:v>
                </c:pt>
                <c:pt idx="2">
                  <c:v>Amr</c:v>
                </c:pt>
                <c:pt idx="3">
                  <c:v>Amira</c:v>
                </c:pt>
                <c:pt idx="4">
                  <c:v>Aya</c:v>
                </c:pt>
              </c:strCache>
            </c:strRef>
          </c:cat>
          <c:val>
            <c:numRef>
              <c:f>Sprint_2!$C$61:$C$65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90-40D5-B70D-425784305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426906"/>
        <c:axId val="2079339370"/>
      </c:barChart>
      <c:catAx>
        <c:axId val="2050426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Team 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9339370"/>
        <c:crosses val="autoZero"/>
        <c:auto val="1"/>
        <c:lblAlgn val="ctr"/>
        <c:lblOffset val="100"/>
        <c:noMultiLvlLbl val="1"/>
      </c:catAx>
      <c:valAx>
        <c:axId val="2079339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04269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3: Planned vs Actual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Planned Hours</c:v>
          </c:tx>
          <c:spPr>
            <a:solidFill>
              <a:srgbClr val="3498D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Sprint_3!$A$61:$A$65</c:f>
              <c:strCache>
                <c:ptCount val="5"/>
                <c:pt idx="0">
                  <c:v>Omar Kandeel</c:v>
                </c:pt>
                <c:pt idx="1">
                  <c:v>Abdelrahman Yasser</c:v>
                </c:pt>
                <c:pt idx="2">
                  <c:v>Amr</c:v>
                </c:pt>
                <c:pt idx="3">
                  <c:v>Amira</c:v>
                </c:pt>
                <c:pt idx="4">
                  <c:v>Aya</c:v>
                </c:pt>
              </c:strCache>
            </c:strRef>
          </c:cat>
          <c:val>
            <c:numRef>
              <c:f>Sprint_3!$B$61:$B$65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26-4B04-8736-B3E5DD492B74}"/>
            </c:ext>
          </c:extLst>
        </c:ser>
        <c:ser>
          <c:idx val="1"/>
          <c:order val="1"/>
          <c:tx>
            <c:v>Actual Hours</c:v>
          </c:tx>
          <c:spPr>
            <a:solidFill>
              <a:srgbClr val="1A7A8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Sprint_3!$A$61:$A$65</c:f>
              <c:strCache>
                <c:ptCount val="5"/>
                <c:pt idx="0">
                  <c:v>Omar Kandeel</c:v>
                </c:pt>
                <c:pt idx="1">
                  <c:v>Abdelrahman Yasser</c:v>
                </c:pt>
                <c:pt idx="2">
                  <c:v>Amr</c:v>
                </c:pt>
                <c:pt idx="3">
                  <c:v>Amira</c:v>
                </c:pt>
                <c:pt idx="4">
                  <c:v>Aya</c:v>
                </c:pt>
              </c:strCache>
            </c:strRef>
          </c:cat>
          <c:val>
            <c:numRef>
              <c:f>Sprint_3!$C$61:$C$65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C26-4B04-8736-B3E5DD492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6879812"/>
        <c:axId val="244469785"/>
      </c:barChart>
      <c:catAx>
        <c:axId val="706879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Team 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4469785"/>
        <c:crosses val="autoZero"/>
        <c:auto val="1"/>
        <c:lblAlgn val="ctr"/>
        <c:lblOffset val="100"/>
        <c:noMultiLvlLbl val="1"/>
      </c:catAx>
      <c:valAx>
        <c:axId val="244469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68798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66</xdr:row>
      <xdr:rowOff>0</xdr:rowOff>
    </xdr:from>
    <xdr:ext cx="8639175" cy="5038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0077450" cy="50387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66</xdr:row>
      <xdr:rowOff>0</xdr:rowOff>
    </xdr:from>
    <xdr:ext cx="8639175" cy="50387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66</xdr:row>
      <xdr:rowOff>0</xdr:rowOff>
    </xdr:from>
    <xdr:ext cx="8639175" cy="503872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0"/>
  <sheetViews>
    <sheetView tabSelected="1" workbookViewId="0">
      <pane ySplit="2" topLeftCell="A41" activePane="bottomLeft" state="frozen"/>
      <selection pane="bottomLeft" activeCell="C55" sqref="C55"/>
    </sheetView>
  </sheetViews>
  <sheetFormatPr defaultColWidth="14.44140625" defaultRowHeight="15" customHeight="1" x14ac:dyDescent="0.3"/>
  <cols>
    <col min="1" max="1" width="14" customWidth="1"/>
    <col min="2" max="3" width="16" customWidth="1"/>
    <col min="4" max="4" width="18" customWidth="1"/>
    <col min="5" max="5" width="14" hidden="1" customWidth="1"/>
    <col min="6" max="6" width="40" customWidth="1"/>
    <col min="7" max="26" width="8.6640625" customWidth="1"/>
  </cols>
  <sheetData>
    <row r="1" spans="1:6" ht="42" customHeight="1" x14ac:dyDescent="0.3">
      <c r="A1" s="28" t="s">
        <v>0</v>
      </c>
      <c r="B1" s="29"/>
      <c r="C1" s="29"/>
      <c r="D1" s="29"/>
      <c r="E1" s="29"/>
      <c r="F1" s="30"/>
    </row>
    <row r="2" spans="1:6" ht="7.5" customHeight="1" x14ac:dyDescent="0.3"/>
    <row r="3" spans="1:6" ht="30" customHeight="1" x14ac:dyDescent="0.3">
      <c r="A3" s="31" t="s">
        <v>1</v>
      </c>
      <c r="B3" s="29"/>
      <c r="C3" s="29"/>
      <c r="D3" s="29"/>
      <c r="E3" s="29"/>
      <c r="F3" s="30"/>
    </row>
    <row r="4" spans="1:6" ht="25.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4.25" customHeight="1" x14ac:dyDescent="0.3">
      <c r="A5" s="2" t="s">
        <v>8</v>
      </c>
      <c r="B5" s="3">
        <v>5</v>
      </c>
      <c r="C5" s="3">
        <v>5</v>
      </c>
      <c r="D5" s="3">
        <f t="shared" ref="D5:D6" si="0">IF(AND(B5&lt;&gt;"",C5&lt;&gt;""),B5-C5,"")</f>
        <v>0</v>
      </c>
      <c r="E5" s="4" t="s">
        <v>9</v>
      </c>
      <c r="F5" s="5"/>
    </row>
    <row r="6" spans="1:6" ht="14.25" customHeight="1" x14ac:dyDescent="0.3">
      <c r="A6" s="6" t="s">
        <v>10</v>
      </c>
      <c r="B6" s="7">
        <v>0</v>
      </c>
      <c r="C6" s="7">
        <v>0</v>
      </c>
      <c r="D6" s="7">
        <f t="shared" si="0"/>
        <v>0</v>
      </c>
      <c r="E6" s="8" t="s">
        <v>9</v>
      </c>
      <c r="F6" s="9"/>
    </row>
    <row r="7" spans="1:6" ht="14.25" customHeight="1" x14ac:dyDescent="0.3">
      <c r="A7" s="2" t="s">
        <v>11</v>
      </c>
      <c r="B7" s="3">
        <v>0</v>
      </c>
      <c r="C7" s="3">
        <v>0</v>
      </c>
      <c r="D7" s="3">
        <v>0</v>
      </c>
      <c r="E7" s="4" t="s">
        <v>9</v>
      </c>
      <c r="F7" s="5"/>
    </row>
    <row r="8" spans="1:6" ht="14.25" customHeight="1" x14ac:dyDescent="0.3">
      <c r="A8" s="6" t="s">
        <v>12</v>
      </c>
      <c r="B8" s="7">
        <v>5</v>
      </c>
      <c r="C8" s="7">
        <v>3</v>
      </c>
      <c r="D8" s="7">
        <f t="shared" ref="D8:D11" si="1">IF(AND(B8&lt;&gt;"",C8&lt;&gt;""),B8-C8,"")</f>
        <v>2</v>
      </c>
      <c r="E8" s="4" t="s">
        <v>9</v>
      </c>
      <c r="F8" s="9"/>
    </row>
    <row r="9" spans="1:6" ht="14.25" customHeight="1" x14ac:dyDescent="0.3">
      <c r="A9" s="2" t="s">
        <v>13</v>
      </c>
      <c r="B9" s="3">
        <v>2</v>
      </c>
      <c r="C9" s="10">
        <v>0</v>
      </c>
      <c r="D9" s="3">
        <f t="shared" si="1"/>
        <v>2</v>
      </c>
      <c r="E9" s="4" t="s">
        <v>9</v>
      </c>
      <c r="F9" s="5"/>
    </row>
    <row r="10" spans="1:6" ht="14.25" customHeight="1" x14ac:dyDescent="0.3">
      <c r="A10" s="6" t="s">
        <v>14</v>
      </c>
      <c r="B10" s="11">
        <v>2</v>
      </c>
      <c r="C10" s="11">
        <v>5</v>
      </c>
      <c r="D10" s="7">
        <f t="shared" si="1"/>
        <v>-3</v>
      </c>
      <c r="E10" s="4" t="s">
        <v>9</v>
      </c>
      <c r="F10" s="9"/>
    </row>
    <row r="11" spans="1:6" ht="14.25" customHeight="1" x14ac:dyDescent="0.3">
      <c r="A11" s="2" t="s">
        <v>15</v>
      </c>
      <c r="B11" s="10">
        <v>0</v>
      </c>
      <c r="C11" s="10">
        <v>4</v>
      </c>
      <c r="D11" s="3">
        <f t="shared" si="1"/>
        <v>-4</v>
      </c>
      <c r="E11" s="4" t="s">
        <v>9</v>
      </c>
      <c r="F11" s="5"/>
    </row>
    <row r="12" spans="1:6" ht="27.75" customHeight="1" x14ac:dyDescent="0.3">
      <c r="A12" s="12" t="s">
        <v>16</v>
      </c>
      <c r="B12" s="13">
        <f t="shared" ref="B12:D12" si="2">SUM(B5:B11)</f>
        <v>14</v>
      </c>
      <c r="C12" s="13">
        <f t="shared" si="2"/>
        <v>17</v>
      </c>
      <c r="D12" s="13">
        <f t="shared" si="2"/>
        <v>-3</v>
      </c>
      <c r="E12" s="14"/>
      <c r="F12" s="14"/>
    </row>
    <row r="13" spans="1:6" ht="12" customHeight="1" x14ac:dyDescent="0.3"/>
    <row r="14" spans="1:6" ht="30" customHeight="1" x14ac:dyDescent="0.3">
      <c r="A14" s="31" t="s">
        <v>17</v>
      </c>
      <c r="B14" s="29"/>
      <c r="C14" s="29"/>
      <c r="D14" s="29"/>
      <c r="E14" s="29"/>
      <c r="F14" s="30"/>
    </row>
    <row r="15" spans="1:6" ht="25.5" customHeight="1" x14ac:dyDescent="0.3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</row>
    <row r="16" spans="1:6" ht="14.25" customHeight="1" x14ac:dyDescent="0.3">
      <c r="A16" s="2" t="s">
        <v>8</v>
      </c>
      <c r="B16" s="10">
        <v>5</v>
      </c>
      <c r="C16" s="10">
        <v>5</v>
      </c>
      <c r="D16" s="3">
        <f t="shared" ref="D16:D17" si="3">IF(AND(B16&lt;&gt;"",C16&lt;&gt;""),B16-C16,"")</f>
        <v>0</v>
      </c>
      <c r="E16" s="15" t="s">
        <v>9</v>
      </c>
      <c r="F16" s="5"/>
    </row>
    <row r="17" spans="1:6" ht="14.25" customHeight="1" x14ac:dyDescent="0.3">
      <c r="A17" s="6" t="s">
        <v>10</v>
      </c>
      <c r="B17" s="11">
        <v>0</v>
      </c>
      <c r="C17" s="11">
        <v>0</v>
      </c>
      <c r="D17" s="7">
        <f t="shared" si="3"/>
        <v>0</v>
      </c>
      <c r="E17" s="16" t="s">
        <v>9</v>
      </c>
      <c r="F17" s="9"/>
    </row>
    <row r="18" spans="1:6" ht="14.25" customHeight="1" x14ac:dyDescent="0.3">
      <c r="A18" s="2" t="s">
        <v>11</v>
      </c>
      <c r="B18" s="10">
        <v>0</v>
      </c>
      <c r="C18" s="10">
        <v>0</v>
      </c>
      <c r="D18" s="10">
        <v>0</v>
      </c>
      <c r="E18" s="15" t="s">
        <v>9</v>
      </c>
      <c r="F18" s="5"/>
    </row>
    <row r="19" spans="1:6" ht="14.25" customHeight="1" x14ac:dyDescent="0.3">
      <c r="A19" s="6" t="s">
        <v>12</v>
      </c>
      <c r="B19" s="11">
        <v>0</v>
      </c>
      <c r="C19" s="11">
        <v>0</v>
      </c>
      <c r="D19" s="7">
        <f t="shared" ref="D19:D22" si="4">IF(AND(B19&lt;&gt;"",C19&lt;&gt;""),B19-C19,"")</f>
        <v>0</v>
      </c>
      <c r="E19" s="16" t="s">
        <v>9</v>
      </c>
      <c r="F19" s="9"/>
    </row>
    <row r="20" spans="1:6" ht="14.25" customHeight="1" x14ac:dyDescent="0.3">
      <c r="A20" s="2" t="s">
        <v>13</v>
      </c>
      <c r="B20" s="10">
        <v>3</v>
      </c>
      <c r="C20" s="10">
        <v>0</v>
      </c>
      <c r="D20" s="3">
        <f t="shared" si="4"/>
        <v>3</v>
      </c>
      <c r="E20" s="15" t="s">
        <v>18</v>
      </c>
      <c r="F20" s="5"/>
    </row>
    <row r="21" spans="1:6" ht="14.25" customHeight="1" x14ac:dyDescent="0.3">
      <c r="A21" s="6" t="s">
        <v>14</v>
      </c>
      <c r="B21" s="11">
        <v>3</v>
      </c>
      <c r="C21" s="11">
        <v>0</v>
      </c>
      <c r="D21" s="7">
        <f t="shared" si="4"/>
        <v>3</v>
      </c>
      <c r="E21" s="15" t="s">
        <v>18</v>
      </c>
      <c r="F21" s="9"/>
    </row>
    <row r="22" spans="1:6" ht="14.25" customHeight="1" x14ac:dyDescent="0.3">
      <c r="A22" s="2" t="s">
        <v>15</v>
      </c>
      <c r="B22" s="10">
        <v>1</v>
      </c>
      <c r="C22" s="10">
        <v>0</v>
      </c>
      <c r="D22" s="3">
        <f t="shared" si="4"/>
        <v>1</v>
      </c>
      <c r="E22" s="15" t="s">
        <v>18</v>
      </c>
      <c r="F22" s="5"/>
    </row>
    <row r="23" spans="1:6" ht="27.75" customHeight="1" x14ac:dyDescent="0.3">
      <c r="A23" s="12" t="s">
        <v>16</v>
      </c>
      <c r="B23" s="13">
        <f t="shared" ref="B23:D23" si="5">SUM(B16:B22)</f>
        <v>12</v>
      </c>
      <c r="C23" s="13">
        <f t="shared" si="5"/>
        <v>5</v>
      </c>
      <c r="D23" s="13">
        <f t="shared" si="5"/>
        <v>7</v>
      </c>
      <c r="E23" s="14"/>
      <c r="F23" s="14"/>
    </row>
    <row r="24" spans="1:6" ht="12" customHeight="1" x14ac:dyDescent="0.3"/>
    <row r="25" spans="1:6" ht="30" customHeight="1" x14ac:dyDescent="0.3">
      <c r="A25" s="31" t="s">
        <v>19</v>
      </c>
      <c r="B25" s="29"/>
      <c r="C25" s="29"/>
      <c r="D25" s="29"/>
      <c r="E25" s="29"/>
      <c r="F25" s="30"/>
    </row>
    <row r="26" spans="1:6" ht="25.5" customHeight="1" x14ac:dyDescent="0.3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</row>
    <row r="27" spans="1:6" ht="14.25" customHeight="1" x14ac:dyDescent="0.3">
      <c r="A27" s="2" t="s">
        <v>8</v>
      </c>
      <c r="B27" s="10">
        <v>5</v>
      </c>
      <c r="C27" s="10">
        <v>5</v>
      </c>
      <c r="D27" s="3">
        <f t="shared" ref="D27:D33" si="6">IF(AND(B27&lt;&gt;"",C27&lt;&gt;""),B27-C27,"")</f>
        <v>0</v>
      </c>
      <c r="E27" s="15" t="s">
        <v>9</v>
      </c>
      <c r="F27" s="5"/>
    </row>
    <row r="28" spans="1:6" ht="14.25" customHeight="1" x14ac:dyDescent="0.3">
      <c r="A28" s="6" t="s">
        <v>10</v>
      </c>
      <c r="B28" s="11">
        <v>0</v>
      </c>
      <c r="C28" s="11">
        <v>0</v>
      </c>
      <c r="D28" s="7">
        <f t="shared" si="6"/>
        <v>0</v>
      </c>
      <c r="E28" s="16" t="s">
        <v>9</v>
      </c>
      <c r="F28" s="9"/>
    </row>
    <row r="29" spans="1:6" ht="14.25" customHeight="1" x14ac:dyDescent="0.3">
      <c r="A29" s="2" t="s">
        <v>11</v>
      </c>
      <c r="B29" s="10">
        <v>0</v>
      </c>
      <c r="C29" s="10">
        <v>0</v>
      </c>
      <c r="D29" s="3">
        <f t="shared" si="6"/>
        <v>0</v>
      </c>
      <c r="E29" s="15" t="s">
        <v>9</v>
      </c>
      <c r="F29" s="5"/>
    </row>
    <row r="30" spans="1:6" ht="14.25" customHeight="1" x14ac:dyDescent="0.3">
      <c r="A30" s="6" t="s">
        <v>12</v>
      </c>
      <c r="B30" s="11">
        <v>3</v>
      </c>
      <c r="C30" s="11">
        <v>3.5</v>
      </c>
      <c r="D30" s="7">
        <f t="shared" si="6"/>
        <v>-0.5</v>
      </c>
      <c r="E30" s="16" t="s">
        <v>20</v>
      </c>
      <c r="F30" s="9"/>
    </row>
    <row r="31" spans="1:6" ht="14.25" customHeight="1" x14ac:dyDescent="0.3">
      <c r="A31" s="2" t="s">
        <v>13</v>
      </c>
      <c r="B31" s="10">
        <v>2</v>
      </c>
      <c r="C31" s="10">
        <v>1</v>
      </c>
      <c r="D31" s="3">
        <f t="shared" si="6"/>
        <v>1</v>
      </c>
      <c r="E31" s="15" t="s">
        <v>18</v>
      </c>
      <c r="F31" s="5"/>
    </row>
    <row r="32" spans="1:6" ht="14.25" customHeight="1" x14ac:dyDescent="0.3">
      <c r="A32" s="6" t="s">
        <v>14</v>
      </c>
      <c r="B32" s="11">
        <v>3</v>
      </c>
      <c r="C32" s="11">
        <v>4</v>
      </c>
      <c r="D32" s="7">
        <f t="shared" si="6"/>
        <v>-1</v>
      </c>
      <c r="E32" s="15" t="s">
        <v>18</v>
      </c>
      <c r="F32" s="9"/>
    </row>
    <row r="33" spans="1:6" ht="14.25" customHeight="1" x14ac:dyDescent="0.3">
      <c r="A33" s="2" t="s">
        <v>15</v>
      </c>
      <c r="B33" s="10">
        <v>3</v>
      </c>
      <c r="C33" s="10">
        <v>5</v>
      </c>
      <c r="D33" s="3">
        <f t="shared" si="6"/>
        <v>-2</v>
      </c>
      <c r="E33" s="15" t="s">
        <v>18</v>
      </c>
      <c r="F33" s="5"/>
    </row>
    <row r="34" spans="1:6" ht="27.75" customHeight="1" x14ac:dyDescent="0.3">
      <c r="A34" s="12" t="s">
        <v>16</v>
      </c>
      <c r="B34" s="13">
        <f t="shared" ref="B34:D34" si="7">SUM(B27:B33)</f>
        <v>16</v>
      </c>
      <c r="C34" s="13">
        <f t="shared" si="7"/>
        <v>18.5</v>
      </c>
      <c r="D34" s="13">
        <f t="shared" si="7"/>
        <v>-2.5</v>
      </c>
      <c r="E34" s="14"/>
      <c r="F34" s="14"/>
    </row>
    <row r="35" spans="1:6" ht="12" customHeight="1" x14ac:dyDescent="0.3"/>
    <row r="36" spans="1:6" ht="30" customHeight="1" x14ac:dyDescent="0.3">
      <c r="A36" s="31" t="s">
        <v>21</v>
      </c>
      <c r="B36" s="29"/>
      <c r="C36" s="29"/>
      <c r="D36" s="29"/>
      <c r="E36" s="29"/>
      <c r="F36" s="30"/>
    </row>
    <row r="37" spans="1:6" ht="25.5" customHeight="1" x14ac:dyDescent="0.3">
      <c r="A37" s="1" t="s">
        <v>2</v>
      </c>
      <c r="B37" s="1" t="s">
        <v>3</v>
      </c>
      <c r="C37" s="1" t="s">
        <v>4</v>
      </c>
      <c r="D37" s="1" t="s">
        <v>5</v>
      </c>
      <c r="E37" s="1" t="s">
        <v>6</v>
      </c>
      <c r="F37" s="1" t="s">
        <v>7</v>
      </c>
    </row>
    <row r="38" spans="1:6" ht="14.25" customHeight="1" x14ac:dyDescent="0.3">
      <c r="A38" s="2" t="s">
        <v>8</v>
      </c>
      <c r="B38" s="10">
        <v>6</v>
      </c>
      <c r="C38" s="10">
        <v>6</v>
      </c>
      <c r="D38" s="3">
        <f t="shared" ref="D38:D44" si="8">IF(AND(B38&lt;&gt;"",C38&lt;&gt;""),B38-C38,"")</f>
        <v>0</v>
      </c>
      <c r="E38" s="15" t="s">
        <v>9</v>
      </c>
      <c r="F38" s="5"/>
    </row>
    <row r="39" spans="1:6" ht="14.25" customHeight="1" x14ac:dyDescent="0.3">
      <c r="A39" s="6" t="s">
        <v>10</v>
      </c>
      <c r="B39" s="11">
        <v>0</v>
      </c>
      <c r="C39" s="11">
        <v>0</v>
      </c>
      <c r="D39" s="7">
        <f t="shared" si="8"/>
        <v>0</v>
      </c>
      <c r="E39" s="16" t="s">
        <v>9</v>
      </c>
      <c r="F39" s="9"/>
    </row>
    <row r="40" spans="1:6" ht="14.25" customHeight="1" x14ac:dyDescent="0.3">
      <c r="A40" s="2" t="s">
        <v>11</v>
      </c>
      <c r="B40" s="10">
        <v>2</v>
      </c>
      <c r="C40" s="10">
        <v>0.5</v>
      </c>
      <c r="D40" s="3">
        <f t="shared" si="8"/>
        <v>1.5</v>
      </c>
      <c r="E40" s="15" t="s">
        <v>9</v>
      </c>
      <c r="F40" s="5"/>
    </row>
    <row r="41" spans="1:6" ht="14.25" customHeight="1" x14ac:dyDescent="0.3">
      <c r="A41" s="6" t="s">
        <v>12</v>
      </c>
      <c r="B41" s="11">
        <v>2</v>
      </c>
      <c r="C41" s="11">
        <v>2</v>
      </c>
      <c r="D41" s="7">
        <f t="shared" si="8"/>
        <v>0</v>
      </c>
      <c r="E41" s="16" t="s">
        <v>9</v>
      </c>
      <c r="F41" s="9"/>
    </row>
    <row r="42" spans="1:6" ht="14.25" customHeight="1" x14ac:dyDescent="0.3">
      <c r="A42" s="2" t="s">
        <v>13</v>
      </c>
      <c r="B42" s="10">
        <v>0</v>
      </c>
      <c r="C42" s="10">
        <v>0</v>
      </c>
      <c r="D42" s="3">
        <f t="shared" si="8"/>
        <v>0</v>
      </c>
      <c r="E42" s="15" t="s">
        <v>9</v>
      </c>
      <c r="F42" s="5"/>
    </row>
    <row r="43" spans="1:6" ht="14.25" customHeight="1" x14ac:dyDescent="0.3">
      <c r="A43" s="6" t="s">
        <v>14</v>
      </c>
      <c r="B43" s="11">
        <v>3</v>
      </c>
      <c r="C43" s="11">
        <v>4</v>
      </c>
      <c r="D43" s="7">
        <f t="shared" si="8"/>
        <v>-1</v>
      </c>
      <c r="E43" s="16" t="s">
        <v>9</v>
      </c>
      <c r="F43" s="9"/>
    </row>
    <row r="44" spans="1:6" ht="14.25" customHeight="1" x14ac:dyDescent="0.3">
      <c r="A44" s="2" t="s">
        <v>15</v>
      </c>
      <c r="B44" s="10">
        <v>1</v>
      </c>
      <c r="C44" s="10">
        <v>2.5</v>
      </c>
      <c r="D44" s="3">
        <f t="shared" si="8"/>
        <v>-1.5</v>
      </c>
      <c r="E44" s="15" t="s">
        <v>9</v>
      </c>
      <c r="F44" s="5"/>
    </row>
    <row r="45" spans="1:6" ht="27.75" customHeight="1" x14ac:dyDescent="0.3">
      <c r="A45" s="12" t="s">
        <v>16</v>
      </c>
      <c r="B45" s="13">
        <f t="shared" ref="B45:D45" si="9">SUM(B38:B44)</f>
        <v>14</v>
      </c>
      <c r="C45" s="13">
        <f t="shared" si="9"/>
        <v>15</v>
      </c>
      <c r="D45" s="13">
        <f t="shared" si="9"/>
        <v>-1</v>
      </c>
      <c r="E45" s="14"/>
      <c r="F45" s="14"/>
    </row>
    <row r="46" spans="1:6" ht="12" customHeight="1" x14ac:dyDescent="0.3"/>
    <row r="47" spans="1:6" ht="30" customHeight="1" x14ac:dyDescent="0.3">
      <c r="A47" s="31" t="s">
        <v>22</v>
      </c>
      <c r="B47" s="29"/>
      <c r="C47" s="29"/>
      <c r="D47" s="29"/>
      <c r="E47" s="29"/>
      <c r="F47" s="30"/>
    </row>
    <row r="48" spans="1:6" ht="25.5" customHeight="1" x14ac:dyDescent="0.3">
      <c r="A48" s="1" t="s">
        <v>2</v>
      </c>
      <c r="B48" s="1" t="s">
        <v>3</v>
      </c>
      <c r="C48" s="1"/>
      <c r="D48" s="1" t="s">
        <v>5</v>
      </c>
      <c r="E48" s="1" t="s">
        <v>6</v>
      </c>
      <c r="F48" s="1" t="s">
        <v>7</v>
      </c>
    </row>
    <row r="49" spans="1:6" ht="14.25" customHeight="1" x14ac:dyDescent="0.3">
      <c r="A49" s="2" t="s">
        <v>8</v>
      </c>
      <c r="B49" s="10">
        <v>6</v>
      </c>
      <c r="C49" s="10">
        <v>6</v>
      </c>
      <c r="D49" s="3">
        <f t="shared" ref="D49:D55" si="10">IF(AND(B49&lt;&gt;"",C49&lt;&gt;""),B49-C49,"")</f>
        <v>0</v>
      </c>
      <c r="E49" s="15" t="s">
        <v>9</v>
      </c>
      <c r="F49" s="5"/>
    </row>
    <row r="50" spans="1:6" ht="14.25" customHeight="1" x14ac:dyDescent="0.3">
      <c r="A50" s="6" t="s">
        <v>10</v>
      </c>
      <c r="B50" s="11">
        <v>0</v>
      </c>
      <c r="C50" s="11">
        <v>0</v>
      </c>
      <c r="D50" s="7">
        <f t="shared" si="10"/>
        <v>0</v>
      </c>
      <c r="E50" s="16" t="s">
        <v>9</v>
      </c>
      <c r="F50" s="9"/>
    </row>
    <row r="51" spans="1:6" ht="14.25" customHeight="1" x14ac:dyDescent="0.3">
      <c r="A51" s="2" t="s">
        <v>11</v>
      </c>
      <c r="B51" s="10">
        <v>0</v>
      </c>
      <c r="C51" s="10">
        <v>0</v>
      </c>
      <c r="D51" s="3">
        <f t="shared" si="10"/>
        <v>0</v>
      </c>
      <c r="E51" s="15" t="s">
        <v>9</v>
      </c>
      <c r="F51" s="5"/>
    </row>
    <row r="52" spans="1:6" ht="14.25" customHeight="1" x14ac:dyDescent="0.3">
      <c r="A52" s="6" t="s">
        <v>12</v>
      </c>
      <c r="B52" s="11">
        <v>2</v>
      </c>
      <c r="C52" s="11">
        <v>1</v>
      </c>
      <c r="D52" s="7">
        <f t="shared" si="10"/>
        <v>1</v>
      </c>
      <c r="E52" s="16" t="s">
        <v>9</v>
      </c>
      <c r="F52" s="9"/>
    </row>
    <row r="53" spans="1:6" ht="14.25" customHeight="1" x14ac:dyDescent="0.3">
      <c r="A53" s="2" t="s">
        <v>13</v>
      </c>
      <c r="B53" s="10">
        <v>3</v>
      </c>
      <c r="C53" s="10">
        <v>3</v>
      </c>
      <c r="D53" s="3">
        <f t="shared" si="10"/>
        <v>0</v>
      </c>
      <c r="E53" s="15" t="s">
        <v>9</v>
      </c>
      <c r="F53" s="5"/>
    </row>
    <row r="54" spans="1:6" ht="14.25" customHeight="1" x14ac:dyDescent="0.3">
      <c r="A54" s="6" t="s">
        <v>14</v>
      </c>
      <c r="B54" s="11">
        <v>3</v>
      </c>
      <c r="C54" s="11">
        <v>4.5</v>
      </c>
      <c r="D54" s="7">
        <f t="shared" si="10"/>
        <v>-1.5</v>
      </c>
      <c r="E54" s="16" t="s">
        <v>9</v>
      </c>
      <c r="F54" s="9"/>
    </row>
    <row r="55" spans="1:6" ht="14.25" customHeight="1" x14ac:dyDescent="0.3">
      <c r="A55" s="2" t="s">
        <v>15</v>
      </c>
      <c r="B55" s="10">
        <v>2</v>
      </c>
      <c r="C55" s="10">
        <v>2</v>
      </c>
      <c r="D55" s="3">
        <f t="shared" si="10"/>
        <v>0</v>
      </c>
      <c r="E55" s="15" t="s">
        <v>9</v>
      </c>
      <c r="F55" s="5"/>
    </row>
    <row r="56" spans="1:6" ht="27.75" customHeight="1" x14ac:dyDescent="0.3">
      <c r="A56" s="12" t="s">
        <v>16</v>
      </c>
      <c r="B56" s="13">
        <f t="shared" ref="B56:D56" si="11">SUM(B49:B55)</f>
        <v>16</v>
      </c>
      <c r="C56" s="13">
        <f t="shared" si="11"/>
        <v>16.5</v>
      </c>
      <c r="D56" s="13">
        <f t="shared" si="11"/>
        <v>-0.5</v>
      </c>
      <c r="E56" s="14"/>
      <c r="F56" s="14"/>
    </row>
    <row r="57" spans="1:6" ht="12" customHeight="1" x14ac:dyDescent="0.3"/>
    <row r="58" spans="1:6" ht="14.25" customHeight="1" x14ac:dyDescent="0.3"/>
    <row r="59" spans="1:6" ht="31.5" customHeight="1" x14ac:dyDescent="0.3">
      <c r="A59" s="32" t="s">
        <v>23</v>
      </c>
      <c r="B59" s="29"/>
      <c r="C59" s="29"/>
      <c r="D59" s="29"/>
      <c r="E59" s="29"/>
      <c r="F59" s="30"/>
    </row>
    <row r="60" spans="1:6" ht="24" customHeight="1" x14ac:dyDescent="0.3">
      <c r="A60" s="1" t="s">
        <v>24</v>
      </c>
      <c r="B60" s="1" t="s">
        <v>3</v>
      </c>
      <c r="C60" s="1" t="s">
        <v>4</v>
      </c>
    </row>
    <row r="61" spans="1:6" ht="24" customHeight="1" x14ac:dyDescent="0.3">
      <c r="A61" s="17" t="s">
        <v>25</v>
      </c>
      <c r="B61" s="3">
        <f t="shared" ref="B61:C61" si="12">B12</f>
        <v>14</v>
      </c>
      <c r="C61" s="3">
        <f t="shared" si="12"/>
        <v>17</v>
      </c>
    </row>
    <row r="62" spans="1:6" ht="24" customHeight="1" x14ac:dyDescent="0.3">
      <c r="A62" s="18" t="s">
        <v>26</v>
      </c>
      <c r="B62" s="7">
        <f t="shared" ref="B62:C62" si="13">B23</f>
        <v>12</v>
      </c>
      <c r="C62" s="7">
        <f t="shared" si="13"/>
        <v>5</v>
      </c>
    </row>
    <row r="63" spans="1:6" ht="24" customHeight="1" x14ac:dyDescent="0.3">
      <c r="A63" s="17" t="s">
        <v>27</v>
      </c>
      <c r="B63" s="3">
        <f t="shared" ref="B63:C63" si="14">B34</f>
        <v>16</v>
      </c>
      <c r="C63" s="3">
        <f t="shared" si="14"/>
        <v>18.5</v>
      </c>
    </row>
    <row r="64" spans="1:6" ht="24" customHeight="1" x14ac:dyDescent="0.3">
      <c r="A64" s="18" t="s">
        <v>28</v>
      </c>
      <c r="B64" s="7">
        <f t="shared" ref="B64:C64" si="15">B45</f>
        <v>14</v>
      </c>
      <c r="C64" s="7">
        <f t="shared" si="15"/>
        <v>15</v>
      </c>
    </row>
    <row r="65" spans="1:3" ht="24" customHeight="1" x14ac:dyDescent="0.3">
      <c r="A65" s="17" t="s">
        <v>29</v>
      </c>
      <c r="B65" s="3">
        <f t="shared" ref="B65:C65" si="16">B56</f>
        <v>16</v>
      </c>
      <c r="C65" s="3">
        <f t="shared" si="16"/>
        <v>16.5</v>
      </c>
    </row>
    <row r="66" spans="1:3" ht="14.25" customHeight="1" x14ac:dyDescent="0.3"/>
    <row r="67" spans="1:3" ht="14.25" customHeight="1" x14ac:dyDescent="0.3"/>
    <row r="68" spans="1:3" ht="14.25" customHeight="1" x14ac:dyDescent="0.3"/>
    <row r="69" spans="1:3" ht="14.25" customHeight="1" x14ac:dyDescent="0.3"/>
    <row r="70" spans="1:3" ht="14.25" customHeight="1" x14ac:dyDescent="0.3"/>
    <row r="71" spans="1:3" ht="14.25" customHeight="1" x14ac:dyDescent="0.3"/>
    <row r="72" spans="1:3" ht="14.25" customHeight="1" x14ac:dyDescent="0.3"/>
    <row r="73" spans="1:3" ht="14.25" customHeight="1" x14ac:dyDescent="0.3"/>
    <row r="74" spans="1:3" ht="14.25" customHeight="1" x14ac:dyDescent="0.3"/>
    <row r="75" spans="1:3" ht="14.25" customHeight="1" x14ac:dyDescent="0.3"/>
    <row r="76" spans="1:3" ht="14.25" customHeight="1" x14ac:dyDescent="0.3"/>
    <row r="77" spans="1:3" ht="14.25" customHeight="1" x14ac:dyDescent="0.3"/>
    <row r="78" spans="1:3" ht="14.25" customHeight="1" x14ac:dyDescent="0.3"/>
    <row r="79" spans="1:3" ht="14.25" customHeight="1" x14ac:dyDescent="0.3"/>
    <row r="80" spans="1:3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A47:F47"/>
    <mergeCell ref="A59:F59"/>
    <mergeCell ref="A1:F1"/>
    <mergeCell ref="A3:F3"/>
    <mergeCell ref="A14:F14"/>
    <mergeCell ref="A25:F25"/>
    <mergeCell ref="A36:F36"/>
  </mergeCells>
  <dataValidations count="1">
    <dataValidation type="list" allowBlank="1" showInputMessage="1" showErrorMessage="1" prompt="Status - Select task status" sqref="E5:E11 E16:E22 E27:E33 E38:E44 E49:E55" xr:uid="{00000000-0002-0000-0000-000000000000}">
      <formula1>"✅ Done,🔄 In Progress,⏳ Not Started,⚠️ Blocked"</formula1>
    </dataValidation>
  </dataValidations>
  <pageMargins left="0.75" right="0.75" top="1" bottom="1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22" customWidth="1"/>
    <col min="2" max="7" width="16" customWidth="1"/>
    <col min="8" max="10" width="18" customWidth="1"/>
    <col min="11" max="26" width="8.6640625" customWidth="1"/>
  </cols>
  <sheetData>
    <row r="1" spans="1:10" ht="48" customHeight="1" x14ac:dyDescent="0.3">
      <c r="A1" s="33" t="s">
        <v>30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30" customHeight="1" x14ac:dyDescent="0.3">
      <c r="A2" s="34" t="s">
        <v>31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7.5" customHeight="1" x14ac:dyDescent="0.3"/>
    <row r="4" spans="1:10" ht="27.75" customHeight="1" x14ac:dyDescent="0.3">
      <c r="A4" s="1"/>
      <c r="B4" s="35" t="s">
        <v>32</v>
      </c>
      <c r="C4" s="36"/>
      <c r="D4" s="37" t="s">
        <v>33</v>
      </c>
      <c r="E4" s="36"/>
      <c r="F4" s="38" t="s">
        <v>34</v>
      </c>
      <c r="G4" s="36"/>
      <c r="H4" s="39" t="s">
        <v>35</v>
      </c>
      <c r="I4" s="40"/>
      <c r="J4" s="36"/>
    </row>
    <row r="5" spans="1:10" ht="24" customHeight="1" x14ac:dyDescent="0.3">
      <c r="A5" s="19" t="s">
        <v>24</v>
      </c>
      <c r="B5" s="19" t="s">
        <v>36</v>
      </c>
      <c r="C5" s="19" t="s">
        <v>37</v>
      </c>
      <c r="D5" s="19" t="s">
        <v>36</v>
      </c>
      <c r="E5" s="19" t="s">
        <v>37</v>
      </c>
      <c r="F5" s="19" t="s">
        <v>36</v>
      </c>
      <c r="G5" s="19" t="s">
        <v>37</v>
      </c>
      <c r="H5" s="19" t="s">
        <v>38</v>
      </c>
      <c r="I5" s="19" t="s">
        <v>39</v>
      </c>
      <c r="J5" s="19" t="s">
        <v>40</v>
      </c>
    </row>
    <row r="6" spans="1:10" ht="27.75" customHeight="1" x14ac:dyDescent="0.3">
      <c r="A6" s="20" t="s">
        <v>41</v>
      </c>
      <c r="B6" s="21">
        <f>Sprint_1!B12</f>
        <v>14</v>
      </c>
      <c r="C6" s="21">
        <f>Sprint_1!C12</f>
        <v>17</v>
      </c>
      <c r="D6" s="21">
        <f>Sprint_2!B12</f>
        <v>0</v>
      </c>
      <c r="E6" s="21">
        <f>Sprint_2!C12</f>
        <v>0</v>
      </c>
      <c r="F6" s="21">
        <f>Sprint_3!B12</f>
        <v>0</v>
      </c>
      <c r="G6" s="21">
        <f>Sprint_3!C12</f>
        <v>0</v>
      </c>
      <c r="H6" s="22">
        <f t="shared" ref="H6:I6" si="0">B6+D6+F6</f>
        <v>14</v>
      </c>
      <c r="I6" s="22">
        <f t="shared" si="0"/>
        <v>17</v>
      </c>
      <c r="J6" s="23">
        <f t="shared" ref="J6:J10" si="1">H6-I6</f>
        <v>-3</v>
      </c>
    </row>
    <row r="7" spans="1:10" ht="27.75" customHeight="1" x14ac:dyDescent="0.3">
      <c r="A7" s="18" t="s">
        <v>42</v>
      </c>
      <c r="B7" s="7">
        <f>Sprint_1!B23</f>
        <v>12</v>
      </c>
      <c r="C7" s="7">
        <f>Sprint_1!C23</f>
        <v>5</v>
      </c>
      <c r="D7" s="7">
        <f>Sprint_2!B23</f>
        <v>0</v>
      </c>
      <c r="E7" s="7">
        <f>Sprint_2!C23</f>
        <v>0</v>
      </c>
      <c r="F7" s="7">
        <f>Sprint_3!B23</f>
        <v>0</v>
      </c>
      <c r="G7" s="7">
        <f>Sprint_3!C23</f>
        <v>0</v>
      </c>
      <c r="H7" s="24">
        <f t="shared" ref="H7:I7" si="2">B7+D7+F7</f>
        <v>12</v>
      </c>
      <c r="I7" s="24">
        <f t="shared" si="2"/>
        <v>5</v>
      </c>
      <c r="J7" s="25">
        <f t="shared" si="1"/>
        <v>7</v>
      </c>
    </row>
    <row r="8" spans="1:10" ht="27.75" customHeight="1" x14ac:dyDescent="0.3">
      <c r="A8" s="20" t="s">
        <v>43</v>
      </c>
      <c r="B8" s="21">
        <f>Sprint_1!B34</f>
        <v>16</v>
      </c>
      <c r="C8" s="21">
        <f>Sprint_1!C34</f>
        <v>18.5</v>
      </c>
      <c r="D8" s="21">
        <f>Sprint_2!B34</f>
        <v>0</v>
      </c>
      <c r="E8" s="21">
        <f>Sprint_2!C34</f>
        <v>0</v>
      </c>
      <c r="F8" s="21">
        <f>Sprint_3!B34</f>
        <v>0</v>
      </c>
      <c r="G8" s="21">
        <f>Sprint_3!C34</f>
        <v>0</v>
      </c>
      <c r="H8" s="22">
        <f t="shared" ref="H8:I8" si="3">B8+D8+F8</f>
        <v>16</v>
      </c>
      <c r="I8" s="22">
        <f t="shared" si="3"/>
        <v>18.5</v>
      </c>
      <c r="J8" s="23">
        <f t="shared" si="1"/>
        <v>-2.5</v>
      </c>
    </row>
    <row r="9" spans="1:10" ht="27.75" customHeight="1" x14ac:dyDescent="0.3">
      <c r="A9" s="18" t="s">
        <v>44</v>
      </c>
      <c r="B9" s="7">
        <f>Sprint_1!B45</f>
        <v>14</v>
      </c>
      <c r="C9" s="7">
        <f>Sprint_1!C45</f>
        <v>15</v>
      </c>
      <c r="D9" s="7">
        <f>Sprint_2!B45</f>
        <v>0</v>
      </c>
      <c r="E9" s="7">
        <f>Sprint_2!C45</f>
        <v>0</v>
      </c>
      <c r="F9" s="7">
        <f>Sprint_3!B45</f>
        <v>0</v>
      </c>
      <c r="G9" s="7">
        <f>Sprint_3!C45</f>
        <v>0</v>
      </c>
      <c r="H9" s="24">
        <f t="shared" ref="H9:I9" si="4">B9+D9+F9</f>
        <v>14</v>
      </c>
      <c r="I9" s="24">
        <f t="shared" si="4"/>
        <v>15</v>
      </c>
      <c r="J9" s="25">
        <f t="shared" si="1"/>
        <v>-1</v>
      </c>
    </row>
    <row r="10" spans="1:10" ht="27.75" customHeight="1" x14ac:dyDescent="0.3">
      <c r="A10" s="20" t="s">
        <v>45</v>
      </c>
      <c r="B10" s="21">
        <f>Sprint_1!B56</f>
        <v>16</v>
      </c>
      <c r="C10" s="21">
        <f>Sprint_1!C56</f>
        <v>16.5</v>
      </c>
      <c r="D10" s="21">
        <f>Sprint_2!B56</f>
        <v>0</v>
      </c>
      <c r="E10" s="21">
        <f>Sprint_2!C56</f>
        <v>0</v>
      </c>
      <c r="F10" s="21">
        <f>Sprint_3!B56</f>
        <v>0</v>
      </c>
      <c r="G10" s="21">
        <f>Sprint_3!C56</f>
        <v>0</v>
      </c>
      <c r="H10" s="22">
        <f t="shared" ref="H10:I10" si="5">B10+D10+F10</f>
        <v>16</v>
      </c>
      <c r="I10" s="22">
        <f t="shared" si="5"/>
        <v>16.5</v>
      </c>
      <c r="J10" s="23">
        <f t="shared" si="1"/>
        <v>-0.5</v>
      </c>
    </row>
    <row r="11" spans="1:10" ht="31.5" customHeight="1" x14ac:dyDescent="0.3">
      <c r="A11" s="26" t="s">
        <v>46</v>
      </c>
      <c r="B11" s="27">
        <f t="shared" ref="B11:J11" si="6">SUM(B6:B10)</f>
        <v>72</v>
      </c>
      <c r="C11" s="27">
        <f t="shared" si="6"/>
        <v>72</v>
      </c>
      <c r="D11" s="27">
        <f t="shared" si="6"/>
        <v>0</v>
      </c>
      <c r="E11" s="27">
        <f t="shared" si="6"/>
        <v>0</v>
      </c>
      <c r="F11" s="27">
        <f t="shared" si="6"/>
        <v>0</v>
      </c>
      <c r="G11" s="27">
        <f t="shared" si="6"/>
        <v>0</v>
      </c>
      <c r="H11" s="27">
        <f t="shared" si="6"/>
        <v>72</v>
      </c>
      <c r="I11" s="27">
        <f t="shared" si="6"/>
        <v>72</v>
      </c>
      <c r="J11" s="27">
        <f t="shared" si="6"/>
        <v>0</v>
      </c>
    </row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6">
    <mergeCell ref="A1:J1"/>
    <mergeCell ref="A2:J2"/>
    <mergeCell ref="B4:C4"/>
    <mergeCell ref="D4:E4"/>
    <mergeCell ref="F4:G4"/>
    <mergeCell ref="H4:J4"/>
  </mergeCells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14" customWidth="1"/>
    <col min="2" max="3" width="16" customWidth="1"/>
    <col min="4" max="4" width="18" customWidth="1"/>
    <col min="5" max="5" width="14" customWidth="1"/>
    <col min="6" max="6" width="40" customWidth="1"/>
    <col min="7" max="26" width="8.6640625" customWidth="1"/>
  </cols>
  <sheetData>
    <row r="1" spans="1:6" ht="42" customHeight="1" x14ac:dyDescent="0.3">
      <c r="A1" s="28" t="s">
        <v>47</v>
      </c>
      <c r="B1" s="29"/>
      <c r="C1" s="29"/>
      <c r="D1" s="29"/>
      <c r="E1" s="29"/>
      <c r="F1" s="30"/>
    </row>
    <row r="2" spans="1:6" ht="7.5" customHeight="1" x14ac:dyDescent="0.3"/>
    <row r="3" spans="1:6" ht="30" customHeight="1" x14ac:dyDescent="0.3">
      <c r="A3" s="31" t="s">
        <v>1</v>
      </c>
      <c r="B3" s="29"/>
      <c r="C3" s="29"/>
      <c r="D3" s="29"/>
      <c r="E3" s="29"/>
      <c r="F3" s="30"/>
    </row>
    <row r="4" spans="1:6" ht="25.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4.25" customHeight="1" x14ac:dyDescent="0.3">
      <c r="A5" s="2" t="s">
        <v>8</v>
      </c>
      <c r="B5" s="3"/>
      <c r="C5" s="3"/>
      <c r="D5" s="3" t="str">
        <f t="shared" ref="D5:D11" si="0">IF(AND(B5&lt;&gt;"",C5&lt;&gt;""),B5-C5,"")</f>
        <v/>
      </c>
      <c r="E5" s="4"/>
      <c r="F5" s="5"/>
    </row>
    <row r="6" spans="1:6" ht="14.25" customHeight="1" x14ac:dyDescent="0.3">
      <c r="A6" s="6" t="s">
        <v>10</v>
      </c>
      <c r="B6" s="7"/>
      <c r="C6" s="7"/>
      <c r="D6" s="7" t="str">
        <f t="shared" si="0"/>
        <v/>
      </c>
      <c r="E6" s="8"/>
      <c r="F6" s="9"/>
    </row>
    <row r="7" spans="1:6" ht="14.25" customHeight="1" x14ac:dyDescent="0.3">
      <c r="A7" s="2" t="s">
        <v>11</v>
      </c>
      <c r="B7" s="3"/>
      <c r="C7" s="3"/>
      <c r="D7" s="3" t="str">
        <f t="shared" si="0"/>
        <v/>
      </c>
      <c r="E7" s="4"/>
      <c r="F7" s="5"/>
    </row>
    <row r="8" spans="1:6" ht="14.25" customHeight="1" x14ac:dyDescent="0.3">
      <c r="A8" s="6" t="s">
        <v>12</v>
      </c>
      <c r="B8" s="7"/>
      <c r="C8" s="7"/>
      <c r="D8" s="7" t="str">
        <f t="shared" si="0"/>
        <v/>
      </c>
      <c r="E8" s="8"/>
      <c r="F8" s="9"/>
    </row>
    <row r="9" spans="1:6" ht="14.25" customHeight="1" x14ac:dyDescent="0.3">
      <c r="A9" s="2" t="s">
        <v>13</v>
      </c>
      <c r="B9" s="3"/>
      <c r="C9" s="3"/>
      <c r="D9" s="3" t="str">
        <f t="shared" si="0"/>
        <v/>
      </c>
      <c r="E9" s="4"/>
      <c r="F9" s="5"/>
    </row>
    <row r="10" spans="1:6" ht="14.25" customHeight="1" x14ac:dyDescent="0.3">
      <c r="A10" s="6" t="s">
        <v>14</v>
      </c>
      <c r="B10" s="7"/>
      <c r="C10" s="7"/>
      <c r="D10" s="7" t="str">
        <f t="shared" si="0"/>
        <v/>
      </c>
      <c r="E10" s="8"/>
      <c r="F10" s="9"/>
    </row>
    <row r="11" spans="1:6" ht="14.25" customHeight="1" x14ac:dyDescent="0.3">
      <c r="A11" s="2" t="s">
        <v>15</v>
      </c>
      <c r="B11" s="3"/>
      <c r="C11" s="3"/>
      <c r="D11" s="3" t="str">
        <f t="shared" si="0"/>
        <v/>
      </c>
      <c r="E11" s="4"/>
      <c r="F11" s="5"/>
    </row>
    <row r="12" spans="1:6" ht="27.75" customHeight="1" x14ac:dyDescent="0.3">
      <c r="A12" s="12" t="s">
        <v>16</v>
      </c>
      <c r="B12" s="13">
        <f t="shared" ref="B12:D12" si="1">SUM(B5:B11)</f>
        <v>0</v>
      </c>
      <c r="C12" s="13">
        <f t="shared" si="1"/>
        <v>0</v>
      </c>
      <c r="D12" s="13">
        <f t="shared" si="1"/>
        <v>0</v>
      </c>
      <c r="E12" s="14"/>
      <c r="F12" s="14"/>
    </row>
    <row r="13" spans="1:6" ht="12" customHeight="1" x14ac:dyDescent="0.3"/>
    <row r="14" spans="1:6" ht="30" customHeight="1" x14ac:dyDescent="0.3">
      <c r="A14" s="31" t="s">
        <v>17</v>
      </c>
      <c r="B14" s="29"/>
      <c r="C14" s="29"/>
      <c r="D14" s="29"/>
      <c r="E14" s="29"/>
      <c r="F14" s="30"/>
    </row>
    <row r="15" spans="1:6" ht="25.5" customHeight="1" x14ac:dyDescent="0.3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</row>
    <row r="16" spans="1:6" ht="14.25" customHeight="1" x14ac:dyDescent="0.3">
      <c r="A16" s="2" t="s">
        <v>8</v>
      </c>
      <c r="B16" s="3"/>
      <c r="C16" s="3"/>
      <c r="D16" s="3" t="str">
        <f t="shared" ref="D16:D22" si="2">IF(AND(B16&lt;&gt;"",C16&lt;&gt;""),B16-C16,"")</f>
        <v/>
      </c>
      <c r="E16" s="4"/>
      <c r="F16" s="5"/>
    </row>
    <row r="17" spans="1:6" ht="14.25" customHeight="1" x14ac:dyDescent="0.3">
      <c r="A17" s="6" t="s">
        <v>10</v>
      </c>
      <c r="B17" s="7"/>
      <c r="C17" s="7"/>
      <c r="D17" s="7" t="str">
        <f t="shared" si="2"/>
        <v/>
      </c>
      <c r="E17" s="8"/>
      <c r="F17" s="9"/>
    </row>
    <row r="18" spans="1:6" ht="14.25" customHeight="1" x14ac:dyDescent="0.3">
      <c r="A18" s="2" t="s">
        <v>11</v>
      </c>
      <c r="B18" s="3"/>
      <c r="C18" s="3"/>
      <c r="D18" s="3" t="str">
        <f t="shared" si="2"/>
        <v/>
      </c>
      <c r="E18" s="4"/>
      <c r="F18" s="5"/>
    </row>
    <row r="19" spans="1:6" ht="14.25" customHeight="1" x14ac:dyDescent="0.3">
      <c r="A19" s="6" t="s">
        <v>12</v>
      </c>
      <c r="B19" s="7"/>
      <c r="C19" s="7"/>
      <c r="D19" s="7" t="str">
        <f t="shared" si="2"/>
        <v/>
      </c>
      <c r="E19" s="8"/>
      <c r="F19" s="9"/>
    </row>
    <row r="20" spans="1:6" ht="14.25" customHeight="1" x14ac:dyDescent="0.3">
      <c r="A20" s="2" t="s">
        <v>13</v>
      </c>
      <c r="B20" s="3"/>
      <c r="C20" s="3"/>
      <c r="D20" s="3" t="str">
        <f t="shared" si="2"/>
        <v/>
      </c>
      <c r="E20" s="4"/>
      <c r="F20" s="5"/>
    </row>
    <row r="21" spans="1:6" ht="14.25" customHeight="1" x14ac:dyDescent="0.3">
      <c r="A21" s="6" t="s">
        <v>14</v>
      </c>
      <c r="B21" s="7"/>
      <c r="C21" s="7"/>
      <c r="D21" s="7" t="str">
        <f t="shared" si="2"/>
        <v/>
      </c>
      <c r="E21" s="8"/>
      <c r="F21" s="9"/>
    </row>
    <row r="22" spans="1:6" ht="14.25" customHeight="1" x14ac:dyDescent="0.3">
      <c r="A22" s="2" t="s">
        <v>15</v>
      </c>
      <c r="B22" s="3"/>
      <c r="C22" s="3"/>
      <c r="D22" s="3" t="str">
        <f t="shared" si="2"/>
        <v/>
      </c>
      <c r="E22" s="4"/>
      <c r="F22" s="5"/>
    </row>
    <row r="23" spans="1:6" ht="27.75" customHeight="1" x14ac:dyDescent="0.3">
      <c r="A23" s="12" t="s">
        <v>16</v>
      </c>
      <c r="B23" s="13">
        <f t="shared" ref="B23:D23" si="3">SUM(B16:B22)</f>
        <v>0</v>
      </c>
      <c r="C23" s="13">
        <f t="shared" si="3"/>
        <v>0</v>
      </c>
      <c r="D23" s="13">
        <f t="shared" si="3"/>
        <v>0</v>
      </c>
      <c r="E23" s="14"/>
      <c r="F23" s="14"/>
    </row>
    <row r="24" spans="1:6" ht="12" customHeight="1" x14ac:dyDescent="0.3"/>
    <row r="25" spans="1:6" ht="30" customHeight="1" x14ac:dyDescent="0.3">
      <c r="A25" s="31" t="s">
        <v>19</v>
      </c>
      <c r="B25" s="29"/>
      <c r="C25" s="29"/>
      <c r="D25" s="29"/>
      <c r="E25" s="29"/>
      <c r="F25" s="30"/>
    </row>
    <row r="26" spans="1:6" ht="25.5" customHeight="1" x14ac:dyDescent="0.3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</row>
    <row r="27" spans="1:6" ht="14.25" customHeight="1" x14ac:dyDescent="0.3">
      <c r="A27" s="2" t="s">
        <v>8</v>
      </c>
      <c r="B27" s="3"/>
      <c r="C27" s="3"/>
      <c r="D27" s="3" t="str">
        <f t="shared" ref="D27:D33" si="4">IF(AND(B27&lt;&gt;"",C27&lt;&gt;""),B27-C27,"")</f>
        <v/>
      </c>
      <c r="E27" s="4"/>
      <c r="F27" s="5"/>
    </row>
    <row r="28" spans="1:6" ht="14.25" customHeight="1" x14ac:dyDescent="0.3">
      <c r="A28" s="6" t="s">
        <v>10</v>
      </c>
      <c r="B28" s="7"/>
      <c r="C28" s="7"/>
      <c r="D28" s="7" t="str">
        <f t="shared" si="4"/>
        <v/>
      </c>
      <c r="E28" s="8"/>
      <c r="F28" s="9"/>
    </row>
    <row r="29" spans="1:6" ht="14.25" customHeight="1" x14ac:dyDescent="0.3">
      <c r="A29" s="2" t="s">
        <v>11</v>
      </c>
      <c r="B29" s="3"/>
      <c r="C29" s="3"/>
      <c r="D29" s="3" t="str">
        <f t="shared" si="4"/>
        <v/>
      </c>
      <c r="E29" s="4"/>
      <c r="F29" s="5"/>
    </row>
    <row r="30" spans="1:6" ht="14.25" customHeight="1" x14ac:dyDescent="0.3">
      <c r="A30" s="6" t="s">
        <v>12</v>
      </c>
      <c r="B30" s="7"/>
      <c r="C30" s="7"/>
      <c r="D30" s="7" t="str">
        <f t="shared" si="4"/>
        <v/>
      </c>
      <c r="E30" s="8"/>
      <c r="F30" s="9"/>
    </row>
    <row r="31" spans="1:6" ht="14.25" customHeight="1" x14ac:dyDescent="0.3">
      <c r="A31" s="2" t="s">
        <v>13</v>
      </c>
      <c r="B31" s="3"/>
      <c r="C31" s="3"/>
      <c r="D31" s="3" t="str">
        <f t="shared" si="4"/>
        <v/>
      </c>
      <c r="E31" s="4"/>
      <c r="F31" s="5"/>
    </row>
    <row r="32" spans="1:6" ht="14.25" customHeight="1" x14ac:dyDescent="0.3">
      <c r="A32" s="6" t="s">
        <v>14</v>
      </c>
      <c r="B32" s="7"/>
      <c r="C32" s="7"/>
      <c r="D32" s="7" t="str">
        <f t="shared" si="4"/>
        <v/>
      </c>
      <c r="E32" s="8"/>
      <c r="F32" s="9"/>
    </row>
    <row r="33" spans="1:6" ht="14.25" customHeight="1" x14ac:dyDescent="0.3">
      <c r="A33" s="2" t="s">
        <v>15</v>
      </c>
      <c r="B33" s="3"/>
      <c r="C33" s="3"/>
      <c r="D33" s="3" t="str">
        <f t="shared" si="4"/>
        <v/>
      </c>
      <c r="E33" s="4"/>
      <c r="F33" s="5"/>
    </row>
    <row r="34" spans="1:6" ht="27.75" customHeight="1" x14ac:dyDescent="0.3">
      <c r="A34" s="12" t="s">
        <v>16</v>
      </c>
      <c r="B34" s="13">
        <f t="shared" ref="B34:D34" si="5">SUM(B27:B33)</f>
        <v>0</v>
      </c>
      <c r="C34" s="13">
        <f t="shared" si="5"/>
        <v>0</v>
      </c>
      <c r="D34" s="13">
        <f t="shared" si="5"/>
        <v>0</v>
      </c>
      <c r="E34" s="14"/>
      <c r="F34" s="14"/>
    </row>
    <row r="35" spans="1:6" ht="12" customHeight="1" x14ac:dyDescent="0.3"/>
    <row r="36" spans="1:6" ht="30" customHeight="1" x14ac:dyDescent="0.3">
      <c r="A36" s="31" t="s">
        <v>21</v>
      </c>
      <c r="B36" s="29"/>
      <c r="C36" s="29"/>
      <c r="D36" s="29"/>
      <c r="E36" s="29"/>
      <c r="F36" s="30"/>
    </row>
    <row r="37" spans="1:6" ht="25.5" customHeight="1" x14ac:dyDescent="0.3">
      <c r="A37" s="1" t="s">
        <v>2</v>
      </c>
      <c r="B37" s="1" t="s">
        <v>3</v>
      </c>
      <c r="C37" s="1" t="s">
        <v>4</v>
      </c>
      <c r="D37" s="1" t="s">
        <v>5</v>
      </c>
      <c r="E37" s="1" t="s">
        <v>6</v>
      </c>
      <c r="F37" s="1" t="s">
        <v>7</v>
      </c>
    </row>
    <row r="38" spans="1:6" ht="14.25" customHeight="1" x14ac:dyDescent="0.3">
      <c r="A38" s="2" t="s">
        <v>8</v>
      </c>
      <c r="B38" s="3"/>
      <c r="C38" s="3"/>
      <c r="D38" s="3" t="str">
        <f t="shared" ref="D38:D44" si="6">IF(AND(B38&lt;&gt;"",C38&lt;&gt;""),B38-C38,"")</f>
        <v/>
      </c>
      <c r="E38" s="4"/>
      <c r="F38" s="5"/>
    </row>
    <row r="39" spans="1:6" ht="14.25" customHeight="1" x14ac:dyDescent="0.3">
      <c r="A39" s="6" t="s">
        <v>10</v>
      </c>
      <c r="B39" s="7"/>
      <c r="C39" s="7"/>
      <c r="D39" s="7" t="str">
        <f t="shared" si="6"/>
        <v/>
      </c>
      <c r="E39" s="8"/>
      <c r="F39" s="9"/>
    </row>
    <row r="40" spans="1:6" ht="14.25" customHeight="1" x14ac:dyDescent="0.3">
      <c r="A40" s="2" t="s">
        <v>11</v>
      </c>
      <c r="B40" s="3"/>
      <c r="C40" s="3"/>
      <c r="D40" s="3" t="str">
        <f t="shared" si="6"/>
        <v/>
      </c>
      <c r="E40" s="4"/>
      <c r="F40" s="5"/>
    </row>
    <row r="41" spans="1:6" ht="14.25" customHeight="1" x14ac:dyDescent="0.3">
      <c r="A41" s="6" t="s">
        <v>12</v>
      </c>
      <c r="B41" s="7"/>
      <c r="C41" s="7"/>
      <c r="D41" s="7" t="str">
        <f t="shared" si="6"/>
        <v/>
      </c>
      <c r="E41" s="8"/>
      <c r="F41" s="9"/>
    </row>
    <row r="42" spans="1:6" ht="14.25" customHeight="1" x14ac:dyDescent="0.3">
      <c r="A42" s="2" t="s">
        <v>13</v>
      </c>
      <c r="B42" s="3"/>
      <c r="C42" s="3"/>
      <c r="D42" s="3" t="str">
        <f t="shared" si="6"/>
        <v/>
      </c>
      <c r="E42" s="4"/>
      <c r="F42" s="5"/>
    </row>
    <row r="43" spans="1:6" ht="14.25" customHeight="1" x14ac:dyDescent="0.3">
      <c r="A43" s="6" t="s">
        <v>14</v>
      </c>
      <c r="B43" s="7"/>
      <c r="C43" s="7"/>
      <c r="D43" s="7" t="str">
        <f t="shared" si="6"/>
        <v/>
      </c>
      <c r="E43" s="8"/>
      <c r="F43" s="9"/>
    </row>
    <row r="44" spans="1:6" ht="14.25" customHeight="1" x14ac:dyDescent="0.3">
      <c r="A44" s="2" t="s">
        <v>15</v>
      </c>
      <c r="B44" s="3"/>
      <c r="C44" s="3"/>
      <c r="D44" s="3" t="str">
        <f t="shared" si="6"/>
        <v/>
      </c>
      <c r="E44" s="4"/>
      <c r="F44" s="5"/>
    </row>
    <row r="45" spans="1:6" ht="27.75" customHeight="1" x14ac:dyDescent="0.3">
      <c r="A45" s="12" t="s">
        <v>16</v>
      </c>
      <c r="B45" s="13">
        <f t="shared" ref="B45:D45" si="7">SUM(B38:B44)</f>
        <v>0</v>
      </c>
      <c r="C45" s="13">
        <f t="shared" si="7"/>
        <v>0</v>
      </c>
      <c r="D45" s="13">
        <f t="shared" si="7"/>
        <v>0</v>
      </c>
      <c r="E45" s="14"/>
      <c r="F45" s="14"/>
    </row>
    <row r="46" spans="1:6" ht="12" customHeight="1" x14ac:dyDescent="0.3"/>
    <row r="47" spans="1:6" ht="30" customHeight="1" x14ac:dyDescent="0.3">
      <c r="A47" s="31" t="s">
        <v>22</v>
      </c>
      <c r="B47" s="29"/>
      <c r="C47" s="29"/>
      <c r="D47" s="29"/>
      <c r="E47" s="29"/>
      <c r="F47" s="30"/>
    </row>
    <row r="48" spans="1:6" ht="25.5" customHeight="1" x14ac:dyDescent="0.3">
      <c r="A48" s="1" t="s">
        <v>2</v>
      </c>
      <c r="B48" s="1" t="s">
        <v>3</v>
      </c>
      <c r="C48" s="1" t="s">
        <v>4</v>
      </c>
      <c r="D48" s="1" t="s">
        <v>5</v>
      </c>
      <c r="E48" s="1" t="s">
        <v>6</v>
      </c>
      <c r="F48" s="1" t="s">
        <v>7</v>
      </c>
    </row>
    <row r="49" spans="1:6" ht="14.25" customHeight="1" x14ac:dyDescent="0.3">
      <c r="A49" s="2" t="s">
        <v>8</v>
      </c>
      <c r="B49" s="3"/>
      <c r="C49" s="3"/>
      <c r="D49" s="3" t="str">
        <f t="shared" ref="D49:D55" si="8">IF(AND(B49&lt;&gt;"",C49&lt;&gt;""),B49-C49,"")</f>
        <v/>
      </c>
      <c r="E49" s="4"/>
      <c r="F49" s="5"/>
    </row>
    <row r="50" spans="1:6" ht="14.25" customHeight="1" x14ac:dyDescent="0.3">
      <c r="A50" s="6" t="s">
        <v>10</v>
      </c>
      <c r="B50" s="7"/>
      <c r="C50" s="7"/>
      <c r="D50" s="7" t="str">
        <f t="shared" si="8"/>
        <v/>
      </c>
      <c r="E50" s="8"/>
      <c r="F50" s="9"/>
    </row>
    <row r="51" spans="1:6" ht="14.25" customHeight="1" x14ac:dyDescent="0.3">
      <c r="A51" s="2" t="s">
        <v>11</v>
      </c>
      <c r="B51" s="3"/>
      <c r="C51" s="3"/>
      <c r="D51" s="3" t="str">
        <f t="shared" si="8"/>
        <v/>
      </c>
      <c r="E51" s="4"/>
      <c r="F51" s="5"/>
    </row>
    <row r="52" spans="1:6" ht="14.25" customHeight="1" x14ac:dyDescent="0.3">
      <c r="A52" s="6" t="s">
        <v>12</v>
      </c>
      <c r="B52" s="7"/>
      <c r="C52" s="7"/>
      <c r="D52" s="7" t="str">
        <f t="shared" si="8"/>
        <v/>
      </c>
      <c r="E52" s="8"/>
      <c r="F52" s="9"/>
    </row>
    <row r="53" spans="1:6" ht="14.25" customHeight="1" x14ac:dyDescent="0.3">
      <c r="A53" s="2" t="s">
        <v>13</v>
      </c>
      <c r="B53" s="3"/>
      <c r="C53" s="3"/>
      <c r="D53" s="3" t="str">
        <f t="shared" si="8"/>
        <v/>
      </c>
      <c r="E53" s="4"/>
      <c r="F53" s="5"/>
    </row>
    <row r="54" spans="1:6" ht="14.25" customHeight="1" x14ac:dyDescent="0.3">
      <c r="A54" s="6" t="s">
        <v>14</v>
      </c>
      <c r="B54" s="7"/>
      <c r="C54" s="7"/>
      <c r="D54" s="7" t="str">
        <f t="shared" si="8"/>
        <v/>
      </c>
      <c r="E54" s="8"/>
      <c r="F54" s="9"/>
    </row>
    <row r="55" spans="1:6" ht="14.25" customHeight="1" x14ac:dyDescent="0.3">
      <c r="A55" s="2" t="s">
        <v>15</v>
      </c>
      <c r="B55" s="3"/>
      <c r="C55" s="3"/>
      <c r="D55" s="3" t="str">
        <f t="shared" si="8"/>
        <v/>
      </c>
      <c r="E55" s="4"/>
      <c r="F55" s="5"/>
    </row>
    <row r="56" spans="1:6" ht="27.75" customHeight="1" x14ac:dyDescent="0.3">
      <c r="A56" s="12" t="s">
        <v>16</v>
      </c>
      <c r="B56" s="13">
        <f t="shared" ref="B56:D56" si="9">SUM(B49:B55)</f>
        <v>0</v>
      </c>
      <c r="C56" s="13">
        <f t="shared" si="9"/>
        <v>0</v>
      </c>
      <c r="D56" s="13">
        <f t="shared" si="9"/>
        <v>0</v>
      </c>
      <c r="E56" s="14"/>
      <c r="F56" s="14"/>
    </row>
    <row r="57" spans="1:6" ht="12" customHeight="1" x14ac:dyDescent="0.3"/>
    <row r="58" spans="1:6" ht="14.25" customHeight="1" x14ac:dyDescent="0.3"/>
    <row r="59" spans="1:6" ht="31.5" customHeight="1" x14ac:dyDescent="0.3">
      <c r="A59" s="32" t="s">
        <v>48</v>
      </c>
      <c r="B59" s="29"/>
      <c r="C59" s="29"/>
      <c r="D59" s="29"/>
      <c r="E59" s="29"/>
      <c r="F59" s="30"/>
    </row>
    <row r="60" spans="1:6" ht="24" customHeight="1" x14ac:dyDescent="0.3">
      <c r="A60" s="1" t="s">
        <v>24</v>
      </c>
      <c r="B60" s="1" t="s">
        <v>3</v>
      </c>
      <c r="C60" s="1" t="s">
        <v>4</v>
      </c>
    </row>
    <row r="61" spans="1:6" ht="24" customHeight="1" x14ac:dyDescent="0.3">
      <c r="A61" s="17" t="s">
        <v>25</v>
      </c>
      <c r="B61" s="3">
        <f t="shared" ref="B61:C61" si="10">B12</f>
        <v>0</v>
      </c>
      <c r="C61" s="3">
        <f t="shared" si="10"/>
        <v>0</v>
      </c>
    </row>
    <row r="62" spans="1:6" ht="24" customHeight="1" x14ac:dyDescent="0.3">
      <c r="A62" s="18" t="s">
        <v>26</v>
      </c>
      <c r="B62" s="7">
        <f t="shared" ref="B62:C62" si="11">B23</f>
        <v>0</v>
      </c>
      <c r="C62" s="7">
        <f t="shared" si="11"/>
        <v>0</v>
      </c>
    </row>
    <row r="63" spans="1:6" ht="24" customHeight="1" x14ac:dyDescent="0.3">
      <c r="A63" s="17" t="s">
        <v>27</v>
      </c>
      <c r="B63" s="3">
        <f t="shared" ref="B63:C63" si="12">B34</f>
        <v>0</v>
      </c>
      <c r="C63" s="3">
        <f t="shared" si="12"/>
        <v>0</v>
      </c>
    </row>
    <row r="64" spans="1:6" ht="24" customHeight="1" x14ac:dyDescent="0.3">
      <c r="A64" s="18" t="s">
        <v>28</v>
      </c>
      <c r="B64" s="7">
        <f t="shared" ref="B64:C64" si="13">B45</f>
        <v>0</v>
      </c>
      <c r="C64" s="7">
        <f t="shared" si="13"/>
        <v>0</v>
      </c>
    </row>
    <row r="65" spans="1:3" ht="24" customHeight="1" x14ac:dyDescent="0.3">
      <c r="A65" s="17" t="s">
        <v>29</v>
      </c>
      <c r="B65" s="3">
        <f t="shared" ref="B65:C65" si="14">B56</f>
        <v>0</v>
      </c>
      <c r="C65" s="3">
        <f t="shared" si="14"/>
        <v>0</v>
      </c>
    </row>
    <row r="66" spans="1:3" ht="14.25" customHeight="1" x14ac:dyDescent="0.3"/>
    <row r="67" spans="1:3" ht="14.25" customHeight="1" x14ac:dyDescent="0.3"/>
    <row r="68" spans="1:3" ht="14.25" customHeight="1" x14ac:dyDescent="0.3"/>
    <row r="69" spans="1:3" ht="14.25" customHeight="1" x14ac:dyDescent="0.3"/>
    <row r="70" spans="1:3" ht="14.25" customHeight="1" x14ac:dyDescent="0.3"/>
    <row r="71" spans="1:3" ht="14.25" customHeight="1" x14ac:dyDescent="0.3"/>
    <row r="72" spans="1:3" ht="14.25" customHeight="1" x14ac:dyDescent="0.3"/>
    <row r="73" spans="1:3" ht="14.25" customHeight="1" x14ac:dyDescent="0.3"/>
    <row r="74" spans="1:3" ht="14.25" customHeight="1" x14ac:dyDescent="0.3"/>
    <row r="75" spans="1:3" ht="14.25" customHeight="1" x14ac:dyDescent="0.3"/>
    <row r="76" spans="1:3" ht="14.25" customHeight="1" x14ac:dyDescent="0.3"/>
    <row r="77" spans="1:3" ht="14.25" customHeight="1" x14ac:dyDescent="0.3"/>
    <row r="78" spans="1:3" ht="14.25" customHeight="1" x14ac:dyDescent="0.3"/>
    <row r="79" spans="1:3" ht="14.25" customHeight="1" x14ac:dyDescent="0.3"/>
    <row r="80" spans="1:3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A47:F47"/>
    <mergeCell ref="A59:F59"/>
    <mergeCell ref="A1:F1"/>
    <mergeCell ref="A3:F3"/>
    <mergeCell ref="A14:F14"/>
    <mergeCell ref="A25:F25"/>
    <mergeCell ref="A36:F36"/>
  </mergeCells>
  <dataValidations count="1">
    <dataValidation type="list" allowBlank="1" showInputMessage="1" showErrorMessage="1" prompt="Status - Select task status" sqref="E5:E11 E16:E22 E27:E33 E38:E44 E49:E55" xr:uid="{00000000-0002-0000-0200-000000000000}">
      <formula1>"✅ Done,🔄 In Progress,⏳ Not Started,⚠️ Blocked"</formula1>
    </dataValidation>
  </dataValidations>
  <pageMargins left="0.75" right="0.75" top="1" bottom="1" header="0" footer="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14" customWidth="1"/>
    <col min="2" max="3" width="16" customWidth="1"/>
    <col min="4" max="4" width="18" customWidth="1"/>
    <col min="5" max="5" width="14" customWidth="1"/>
    <col min="6" max="6" width="40" customWidth="1"/>
    <col min="7" max="26" width="8.6640625" customWidth="1"/>
  </cols>
  <sheetData>
    <row r="1" spans="1:6" ht="42" customHeight="1" x14ac:dyDescent="0.3">
      <c r="A1" s="28" t="s">
        <v>49</v>
      </c>
      <c r="B1" s="29"/>
      <c r="C1" s="29"/>
      <c r="D1" s="29"/>
      <c r="E1" s="29"/>
      <c r="F1" s="30"/>
    </row>
    <row r="2" spans="1:6" ht="7.5" customHeight="1" x14ac:dyDescent="0.3"/>
    <row r="3" spans="1:6" ht="30" customHeight="1" x14ac:dyDescent="0.3">
      <c r="A3" s="31" t="s">
        <v>1</v>
      </c>
      <c r="B3" s="29"/>
      <c r="C3" s="29"/>
      <c r="D3" s="29"/>
      <c r="E3" s="29"/>
      <c r="F3" s="30"/>
    </row>
    <row r="4" spans="1:6" ht="25.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4.25" customHeight="1" x14ac:dyDescent="0.3">
      <c r="A5" s="2" t="s">
        <v>8</v>
      </c>
      <c r="B5" s="3"/>
      <c r="C5" s="3"/>
      <c r="D5" s="3" t="str">
        <f t="shared" ref="D5:D11" si="0">IF(AND(B5&lt;&gt;"",C5&lt;&gt;""),B5-C5,"")</f>
        <v/>
      </c>
      <c r="E5" s="4"/>
      <c r="F5" s="5"/>
    </row>
    <row r="6" spans="1:6" ht="14.25" customHeight="1" x14ac:dyDescent="0.3">
      <c r="A6" s="6" t="s">
        <v>10</v>
      </c>
      <c r="B6" s="7"/>
      <c r="C6" s="7"/>
      <c r="D6" s="7" t="str">
        <f t="shared" si="0"/>
        <v/>
      </c>
      <c r="E6" s="8"/>
      <c r="F6" s="9"/>
    </row>
    <row r="7" spans="1:6" ht="14.25" customHeight="1" x14ac:dyDescent="0.3">
      <c r="A7" s="2" t="s">
        <v>11</v>
      </c>
      <c r="B7" s="3"/>
      <c r="C7" s="3"/>
      <c r="D7" s="3" t="str">
        <f t="shared" si="0"/>
        <v/>
      </c>
      <c r="E7" s="4"/>
      <c r="F7" s="5"/>
    </row>
    <row r="8" spans="1:6" ht="14.25" customHeight="1" x14ac:dyDescent="0.3">
      <c r="A8" s="6" t="s">
        <v>12</v>
      </c>
      <c r="B8" s="7"/>
      <c r="C8" s="7"/>
      <c r="D8" s="7" t="str">
        <f t="shared" si="0"/>
        <v/>
      </c>
      <c r="E8" s="8"/>
      <c r="F8" s="9"/>
    </row>
    <row r="9" spans="1:6" ht="14.25" customHeight="1" x14ac:dyDescent="0.3">
      <c r="A9" s="2" t="s">
        <v>13</v>
      </c>
      <c r="B9" s="3"/>
      <c r="C9" s="3"/>
      <c r="D9" s="3" t="str">
        <f t="shared" si="0"/>
        <v/>
      </c>
      <c r="E9" s="4"/>
      <c r="F9" s="5"/>
    </row>
    <row r="10" spans="1:6" ht="14.25" customHeight="1" x14ac:dyDescent="0.3">
      <c r="A10" s="6" t="s">
        <v>14</v>
      </c>
      <c r="B10" s="7"/>
      <c r="C10" s="7"/>
      <c r="D10" s="7" t="str">
        <f t="shared" si="0"/>
        <v/>
      </c>
      <c r="E10" s="8"/>
      <c r="F10" s="9"/>
    </row>
    <row r="11" spans="1:6" ht="14.25" customHeight="1" x14ac:dyDescent="0.3">
      <c r="A11" s="2" t="s">
        <v>15</v>
      </c>
      <c r="B11" s="3"/>
      <c r="C11" s="3"/>
      <c r="D11" s="3" t="str">
        <f t="shared" si="0"/>
        <v/>
      </c>
      <c r="E11" s="4"/>
      <c r="F11" s="5"/>
    </row>
    <row r="12" spans="1:6" ht="27.75" customHeight="1" x14ac:dyDescent="0.3">
      <c r="A12" s="12" t="s">
        <v>16</v>
      </c>
      <c r="B12" s="13">
        <f t="shared" ref="B12:D12" si="1">SUM(B5:B11)</f>
        <v>0</v>
      </c>
      <c r="C12" s="13">
        <f t="shared" si="1"/>
        <v>0</v>
      </c>
      <c r="D12" s="13">
        <f t="shared" si="1"/>
        <v>0</v>
      </c>
      <c r="E12" s="14"/>
      <c r="F12" s="14"/>
    </row>
    <row r="13" spans="1:6" ht="12" customHeight="1" x14ac:dyDescent="0.3"/>
    <row r="14" spans="1:6" ht="30" customHeight="1" x14ac:dyDescent="0.3">
      <c r="A14" s="31" t="s">
        <v>17</v>
      </c>
      <c r="B14" s="29"/>
      <c r="C14" s="29"/>
      <c r="D14" s="29"/>
      <c r="E14" s="29"/>
      <c r="F14" s="30"/>
    </row>
    <row r="15" spans="1:6" ht="25.5" customHeight="1" x14ac:dyDescent="0.3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</row>
    <row r="16" spans="1:6" ht="14.25" customHeight="1" x14ac:dyDescent="0.3">
      <c r="A16" s="2" t="s">
        <v>8</v>
      </c>
      <c r="B16" s="3"/>
      <c r="C16" s="3"/>
      <c r="D16" s="3" t="str">
        <f t="shared" ref="D16:D22" si="2">IF(AND(B16&lt;&gt;"",C16&lt;&gt;""),B16-C16,"")</f>
        <v/>
      </c>
      <c r="E16" s="4"/>
      <c r="F16" s="5"/>
    </row>
    <row r="17" spans="1:6" ht="14.25" customHeight="1" x14ac:dyDescent="0.3">
      <c r="A17" s="6" t="s">
        <v>10</v>
      </c>
      <c r="B17" s="7"/>
      <c r="C17" s="7"/>
      <c r="D17" s="7" t="str">
        <f t="shared" si="2"/>
        <v/>
      </c>
      <c r="E17" s="8"/>
      <c r="F17" s="9"/>
    </row>
    <row r="18" spans="1:6" ht="14.25" customHeight="1" x14ac:dyDescent="0.3">
      <c r="A18" s="2" t="s">
        <v>11</v>
      </c>
      <c r="B18" s="3"/>
      <c r="C18" s="3"/>
      <c r="D18" s="3" t="str">
        <f t="shared" si="2"/>
        <v/>
      </c>
      <c r="E18" s="4"/>
      <c r="F18" s="5"/>
    </row>
    <row r="19" spans="1:6" ht="14.25" customHeight="1" x14ac:dyDescent="0.3">
      <c r="A19" s="6" t="s">
        <v>12</v>
      </c>
      <c r="B19" s="7"/>
      <c r="C19" s="7"/>
      <c r="D19" s="7" t="str">
        <f t="shared" si="2"/>
        <v/>
      </c>
      <c r="E19" s="8"/>
      <c r="F19" s="9"/>
    </row>
    <row r="20" spans="1:6" ht="14.25" customHeight="1" x14ac:dyDescent="0.3">
      <c r="A20" s="2" t="s">
        <v>13</v>
      </c>
      <c r="B20" s="3"/>
      <c r="C20" s="3"/>
      <c r="D20" s="3" t="str">
        <f t="shared" si="2"/>
        <v/>
      </c>
      <c r="E20" s="4"/>
      <c r="F20" s="5"/>
    </row>
    <row r="21" spans="1:6" ht="14.25" customHeight="1" x14ac:dyDescent="0.3">
      <c r="A21" s="6" t="s">
        <v>14</v>
      </c>
      <c r="B21" s="7"/>
      <c r="C21" s="7"/>
      <c r="D21" s="7" t="str">
        <f t="shared" si="2"/>
        <v/>
      </c>
      <c r="E21" s="8"/>
      <c r="F21" s="9"/>
    </row>
    <row r="22" spans="1:6" ht="14.25" customHeight="1" x14ac:dyDescent="0.3">
      <c r="A22" s="2" t="s">
        <v>15</v>
      </c>
      <c r="B22" s="3"/>
      <c r="C22" s="3"/>
      <c r="D22" s="3" t="str">
        <f t="shared" si="2"/>
        <v/>
      </c>
      <c r="E22" s="4"/>
      <c r="F22" s="5"/>
    </row>
    <row r="23" spans="1:6" ht="27.75" customHeight="1" x14ac:dyDescent="0.3">
      <c r="A23" s="12" t="s">
        <v>16</v>
      </c>
      <c r="B23" s="13">
        <f t="shared" ref="B23:D23" si="3">SUM(B16:B22)</f>
        <v>0</v>
      </c>
      <c r="C23" s="13">
        <f t="shared" si="3"/>
        <v>0</v>
      </c>
      <c r="D23" s="13">
        <f t="shared" si="3"/>
        <v>0</v>
      </c>
      <c r="E23" s="14"/>
      <c r="F23" s="14"/>
    </row>
    <row r="24" spans="1:6" ht="12" customHeight="1" x14ac:dyDescent="0.3"/>
    <row r="25" spans="1:6" ht="30" customHeight="1" x14ac:dyDescent="0.3">
      <c r="A25" s="31" t="s">
        <v>19</v>
      </c>
      <c r="B25" s="29"/>
      <c r="C25" s="29"/>
      <c r="D25" s="29"/>
      <c r="E25" s="29"/>
      <c r="F25" s="30"/>
    </row>
    <row r="26" spans="1:6" ht="25.5" customHeight="1" x14ac:dyDescent="0.3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</row>
    <row r="27" spans="1:6" ht="14.25" customHeight="1" x14ac:dyDescent="0.3">
      <c r="A27" s="2" t="s">
        <v>8</v>
      </c>
      <c r="B27" s="3"/>
      <c r="C27" s="3"/>
      <c r="D27" s="3" t="str">
        <f t="shared" ref="D27:D33" si="4">IF(AND(B27&lt;&gt;"",C27&lt;&gt;""),B27-C27,"")</f>
        <v/>
      </c>
      <c r="E27" s="4"/>
      <c r="F27" s="5"/>
    </row>
    <row r="28" spans="1:6" ht="14.25" customHeight="1" x14ac:dyDescent="0.3">
      <c r="A28" s="6" t="s">
        <v>10</v>
      </c>
      <c r="B28" s="7"/>
      <c r="C28" s="7"/>
      <c r="D28" s="7" t="str">
        <f t="shared" si="4"/>
        <v/>
      </c>
      <c r="E28" s="8"/>
      <c r="F28" s="9"/>
    </row>
    <row r="29" spans="1:6" ht="14.25" customHeight="1" x14ac:dyDescent="0.3">
      <c r="A29" s="2" t="s">
        <v>11</v>
      </c>
      <c r="B29" s="3"/>
      <c r="C29" s="3"/>
      <c r="D29" s="3" t="str">
        <f t="shared" si="4"/>
        <v/>
      </c>
      <c r="E29" s="4"/>
      <c r="F29" s="5"/>
    </row>
    <row r="30" spans="1:6" ht="14.25" customHeight="1" x14ac:dyDescent="0.3">
      <c r="A30" s="6" t="s">
        <v>12</v>
      </c>
      <c r="B30" s="7"/>
      <c r="C30" s="7"/>
      <c r="D30" s="7" t="str">
        <f t="shared" si="4"/>
        <v/>
      </c>
      <c r="E30" s="8"/>
      <c r="F30" s="9"/>
    </row>
    <row r="31" spans="1:6" ht="14.25" customHeight="1" x14ac:dyDescent="0.3">
      <c r="A31" s="2" t="s">
        <v>13</v>
      </c>
      <c r="B31" s="3"/>
      <c r="C31" s="3"/>
      <c r="D31" s="3" t="str">
        <f t="shared" si="4"/>
        <v/>
      </c>
      <c r="E31" s="4"/>
      <c r="F31" s="5"/>
    </row>
    <row r="32" spans="1:6" ht="14.25" customHeight="1" x14ac:dyDescent="0.3">
      <c r="A32" s="6" t="s">
        <v>14</v>
      </c>
      <c r="B32" s="7"/>
      <c r="C32" s="7"/>
      <c r="D32" s="7" t="str">
        <f t="shared" si="4"/>
        <v/>
      </c>
      <c r="E32" s="8"/>
      <c r="F32" s="9"/>
    </row>
    <row r="33" spans="1:6" ht="14.25" customHeight="1" x14ac:dyDescent="0.3">
      <c r="A33" s="2" t="s">
        <v>15</v>
      </c>
      <c r="B33" s="3"/>
      <c r="C33" s="3"/>
      <c r="D33" s="3" t="str">
        <f t="shared" si="4"/>
        <v/>
      </c>
      <c r="E33" s="4"/>
      <c r="F33" s="5"/>
    </row>
    <row r="34" spans="1:6" ht="27.75" customHeight="1" x14ac:dyDescent="0.3">
      <c r="A34" s="12" t="s">
        <v>16</v>
      </c>
      <c r="B34" s="13">
        <f t="shared" ref="B34:D34" si="5">SUM(B27:B33)</f>
        <v>0</v>
      </c>
      <c r="C34" s="13">
        <f t="shared" si="5"/>
        <v>0</v>
      </c>
      <c r="D34" s="13">
        <f t="shared" si="5"/>
        <v>0</v>
      </c>
      <c r="E34" s="14"/>
      <c r="F34" s="14"/>
    </row>
    <row r="35" spans="1:6" ht="12" customHeight="1" x14ac:dyDescent="0.3"/>
    <row r="36" spans="1:6" ht="30" customHeight="1" x14ac:dyDescent="0.3">
      <c r="A36" s="31" t="s">
        <v>21</v>
      </c>
      <c r="B36" s="29"/>
      <c r="C36" s="29"/>
      <c r="D36" s="29"/>
      <c r="E36" s="29"/>
      <c r="F36" s="30"/>
    </row>
    <row r="37" spans="1:6" ht="25.5" customHeight="1" x14ac:dyDescent="0.3">
      <c r="A37" s="1" t="s">
        <v>2</v>
      </c>
      <c r="B37" s="1" t="s">
        <v>3</v>
      </c>
      <c r="C37" s="1" t="s">
        <v>4</v>
      </c>
      <c r="D37" s="1" t="s">
        <v>5</v>
      </c>
      <c r="E37" s="1" t="s">
        <v>6</v>
      </c>
      <c r="F37" s="1" t="s">
        <v>7</v>
      </c>
    </row>
    <row r="38" spans="1:6" ht="14.25" customHeight="1" x14ac:dyDescent="0.3">
      <c r="A38" s="2" t="s">
        <v>8</v>
      </c>
      <c r="B38" s="3"/>
      <c r="C38" s="3"/>
      <c r="D38" s="3" t="str">
        <f t="shared" ref="D38:D44" si="6">IF(AND(B38&lt;&gt;"",C38&lt;&gt;""),B38-C38,"")</f>
        <v/>
      </c>
      <c r="E38" s="4"/>
      <c r="F38" s="5"/>
    </row>
    <row r="39" spans="1:6" ht="14.25" customHeight="1" x14ac:dyDescent="0.3">
      <c r="A39" s="6" t="s">
        <v>10</v>
      </c>
      <c r="B39" s="7"/>
      <c r="C39" s="7"/>
      <c r="D39" s="7" t="str">
        <f t="shared" si="6"/>
        <v/>
      </c>
      <c r="E39" s="8"/>
      <c r="F39" s="9"/>
    </row>
    <row r="40" spans="1:6" ht="14.25" customHeight="1" x14ac:dyDescent="0.3">
      <c r="A40" s="2" t="s">
        <v>11</v>
      </c>
      <c r="B40" s="3"/>
      <c r="C40" s="3"/>
      <c r="D40" s="3" t="str">
        <f t="shared" si="6"/>
        <v/>
      </c>
      <c r="E40" s="4"/>
      <c r="F40" s="5"/>
    </row>
    <row r="41" spans="1:6" ht="14.25" customHeight="1" x14ac:dyDescent="0.3">
      <c r="A41" s="6" t="s">
        <v>12</v>
      </c>
      <c r="B41" s="7"/>
      <c r="C41" s="7"/>
      <c r="D41" s="7" t="str">
        <f t="shared" si="6"/>
        <v/>
      </c>
      <c r="E41" s="8"/>
      <c r="F41" s="9"/>
    </row>
    <row r="42" spans="1:6" ht="14.25" customHeight="1" x14ac:dyDescent="0.3">
      <c r="A42" s="2" t="s">
        <v>13</v>
      </c>
      <c r="B42" s="3"/>
      <c r="C42" s="3"/>
      <c r="D42" s="3" t="str">
        <f t="shared" si="6"/>
        <v/>
      </c>
      <c r="E42" s="4"/>
      <c r="F42" s="5"/>
    </row>
    <row r="43" spans="1:6" ht="14.25" customHeight="1" x14ac:dyDescent="0.3">
      <c r="A43" s="6" t="s">
        <v>14</v>
      </c>
      <c r="B43" s="7"/>
      <c r="C43" s="7"/>
      <c r="D43" s="7" t="str">
        <f t="shared" si="6"/>
        <v/>
      </c>
      <c r="E43" s="8"/>
      <c r="F43" s="9"/>
    </row>
    <row r="44" spans="1:6" ht="14.25" customHeight="1" x14ac:dyDescent="0.3">
      <c r="A44" s="2" t="s">
        <v>15</v>
      </c>
      <c r="B44" s="3"/>
      <c r="C44" s="3"/>
      <c r="D44" s="3" t="str">
        <f t="shared" si="6"/>
        <v/>
      </c>
      <c r="E44" s="4"/>
      <c r="F44" s="5"/>
    </row>
    <row r="45" spans="1:6" ht="27.75" customHeight="1" x14ac:dyDescent="0.3">
      <c r="A45" s="12" t="s">
        <v>16</v>
      </c>
      <c r="B45" s="13">
        <f t="shared" ref="B45:D45" si="7">SUM(B38:B44)</f>
        <v>0</v>
      </c>
      <c r="C45" s="13">
        <f t="shared" si="7"/>
        <v>0</v>
      </c>
      <c r="D45" s="13">
        <f t="shared" si="7"/>
        <v>0</v>
      </c>
      <c r="E45" s="14"/>
      <c r="F45" s="14"/>
    </row>
    <row r="46" spans="1:6" ht="12" customHeight="1" x14ac:dyDescent="0.3"/>
    <row r="47" spans="1:6" ht="30" customHeight="1" x14ac:dyDescent="0.3">
      <c r="A47" s="31" t="s">
        <v>22</v>
      </c>
      <c r="B47" s="29"/>
      <c r="C47" s="29"/>
      <c r="D47" s="29"/>
      <c r="E47" s="29"/>
      <c r="F47" s="30"/>
    </row>
    <row r="48" spans="1:6" ht="25.5" customHeight="1" x14ac:dyDescent="0.3">
      <c r="A48" s="1" t="s">
        <v>2</v>
      </c>
      <c r="B48" s="1" t="s">
        <v>3</v>
      </c>
      <c r="C48" s="1" t="s">
        <v>4</v>
      </c>
      <c r="D48" s="1" t="s">
        <v>5</v>
      </c>
      <c r="E48" s="1" t="s">
        <v>6</v>
      </c>
      <c r="F48" s="1" t="s">
        <v>7</v>
      </c>
    </row>
    <row r="49" spans="1:6" ht="14.25" customHeight="1" x14ac:dyDescent="0.3">
      <c r="A49" s="2" t="s">
        <v>8</v>
      </c>
      <c r="B49" s="3"/>
      <c r="C49" s="3"/>
      <c r="D49" s="3" t="str">
        <f t="shared" ref="D49:D55" si="8">IF(AND(B49&lt;&gt;"",C49&lt;&gt;""),B49-C49,"")</f>
        <v/>
      </c>
      <c r="E49" s="4"/>
      <c r="F49" s="5"/>
    </row>
    <row r="50" spans="1:6" ht="14.25" customHeight="1" x14ac:dyDescent="0.3">
      <c r="A50" s="6" t="s">
        <v>10</v>
      </c>
      <c r="B50" s="7"/>
      <c r="C50" s="7"/>
      <c r="D50" s="7" t="str">
        <f t="shared" si="8"/>
        <v/>
      </c>
      <c r="E50" s="8"/>
      <c r="F50" s="9"/>
    </row>
    <row r="51" spans="1:6" ht="14.25" customHeight="1" x14ac:dyDescent="0.3">
      <c r="A51" s="2" t="s">
        <v>11</v>
      </c>
      <c r="B51" s="3"/>
      <c r="C51" s="3"/>
      <c r="D51" s="3" t="str">
        <f t="shared" si="8"/>
        <v/>
      </c>
      <c r="E51" s="4"/>
      <c r="F51" s="5"/>
    </row>
    <row r="52" spans="1:6" ht="14.25" customHeight="1" x14ac:dyDescent="0.3">
      <c r="A52" s="6" t="s">
        <v>12</v>
      </c>
      <c r="B52" s="7"/>
      <c r="C52" s="7"/>
      <c r="D52" s="7" t="str">
        <f t="shared" si="8"/>
        <v/>
      </c>
      <c r="E52" s="8"/>
      <c r="F52" s="9"/>
    </row>
    <row r="53" spans="1:6" ht="14.25" customHeight="1" x14ac:dyDescent="0.3">
      <c r="A53" s="2" t="s">
        <v>13</v>
      </c>
      <c r="B53" s="3"/>
      <c r="C53" s="3"/>
      <c r="D53" s="3" t="str">
        <f t="shared" si="8"/>
        <v/>
      </c>
      <c r="E53" s="4"/>
      <c r="F53" s="5"/>
    </row>
    <row r="54" spans="1:6" ht="14.25" customHeight="1" x14ac:dyDescent="0.3">
      <c r="A54" s="6" t="s">
        <v>14</v>
      </c>
      <c r="B54" s="7"/>
      <c r="C54" s="7"/>
      <c r="D54" s="7" t="str">
        <f t="shared" si="8"/>
        <v/>
      </c>
      <c r="E54" s="8"/>
      <c r="F54" s="9"/>
    </row>
    <row r="55" spans="1:6" ht="14.25" customHeight="1" x14ac:dyDescent="0.3">
      <c r="A55" s="2" t="s">
        <v>15</v>
      </c>
      <c r="B55" s="3"/>
      <c r="C55" s="3"/>
      <c r="D55" s="3" t="str">
        <f t="shared" si="8"/>
        <v/>
      </c>
      <c r="E55" s="4"/>
      <c r="F55" s="5"/>
    </row>
    <row r="56" spans="1:6" ht="27.75" customHeight="1" x14ac:dyDescent="0.3">
      <c r="A56" s="12" t="s">
        <v>16</v>
      </c>
      <c r="B56" s="13">
        <f t="shared" ref="B56:D56" si="9">SUM(B49:B55)</f>
        <v>0</v>
      </c>
      <c r="C56" s="13">
        <f t="shared" si="9"/>
        <v>0</v>
      </c>
      <c r="D56" s="13">
        <f t="shared" si="9"/>
        <v>0</v>
      </c>
      <c r="E56" s="14"/>
      <c r="F56" s="14"/>
    </row>
    <row r="57" spans="1:6" ht="12" customHeight="1" x14ac:dyDescent="0.3"/>
    <row r="58" spans="1:6" ht="14.25" customHeight="1" x14ac:dyDescent="0.3"/>
    <row r="59" spans="1:6" ht="31.5" customHeight="1" x14ac:dyDescent="0.3">
      <c r="A59" s="32" t="s">
        <v>50</v>
      </c>
      <c r="B59" s="29"/>
      <c r="C59" s="29"/>
      <c r="D59" s="29"/>
      <c r="E59" s="29"/>
      <c r="F59" s="30"/>
    </row>
    <row r="60" spans="1:6" ht="24" customHeight="1" x14ac:dyDescent="0.3">
      <c r="A60" s="1" t="s">
        <v>24</v>
      </c>
      <c r="B60" s="1" t="s">
        <v>3</v>
      </c>
      <c r="C60" s="1" t="s">
        <v>4</v>
      </c>
    </row>
    <row r="61" spans="1:6" ht="24" customHeight="1" x14ac:dyDescent="0.3">
      <c r="A61" s="17" t="s">
        <v>25</v>
      </c>
      <c r="B61" s="3">
        <f t="shared" ref="B61:C61" si="10">B12</f>
        <v>0</v>
      </c>
      <c r="C61" s="3">
        <f t="shared" si="10"/>
        <v>0</v>
      </c>
    </row>
    <row r="62" spans="1:6" ht="24" customHeight="1" x14ac:dyDescent="0.3">
      <c r="A62" s="18" t="s">
        <v>26</v>
      </c>
      <c r="B62" s="7">
        <f t="shared" ref="B62:C62" si="11">B23</f>
        <v>0</v>
      </c>
      <c r="C62" s="7">
        <f t="shared" si="11"/>
        <v>0</v>
      </c>
    </row>
    <row r="63" spans="1:6" ht="24" customHeight="1" x14ac:dyDescent="0.3">
      <c r="A63" s="17" t="s">
        <v>27</v>
      </c>
      <c r="B63" s="3">
        <f t="shared" ref="B63:C63" si="12">B34</f>
        <v>0</v>
      </c>
      <c r="C63" s="3">
        <f t="shared" si="12"/>
        <v>0</v>
      </c>
    </row>
    <row r="64" spans="1:6" ht="24" customHeight="1" x14ac:dyDescent="0.3">
      <c r="A64" s="18" t="s">
        <v>28</v>
      </c>
      <c r="B64" s="7">
        <f t="shared" ref="B64:C64" si="13">B45</f>
        <v>0</v>
      </c>
      <c r="C64" s="7">
        <f t="shared" si="13"/>
        <v>0</v>
      </c>
    </row>
    <row r="65" spans="1:3" ht="24" customHeight="1" x14ac:dyDescent="0.3">
      <c r="A65" s="17" t="s">
        <v>29</v>
      </c>
      <c r="B65" s="3">
        <f t="shared" ref="B65:C65" si="14">B56</f>
        <v>0</v>
      </c>
      <c r="C65" s="3">
        <f t="shared" si="14"/>
        <v>0</v>
      </c>
    </row>
    <row r="66" spans="1:3" ht="14.25" customHeight="1" x14ac:dyDescent="0.3"/>
    <row r="67" spans="1:3" ht="14.25" customHeight="1" x14ac:dyDescent="0.3"/>
    <row r="68" spans="1:3" ht="14.25" customHeight="1" x14ac:dyDescent="0.3"/>
    <row r="69" spans="1:3" ht="14.25" customHeight="1" x14ac:dyDescent="0.3"/>
    <row r="70" spans="1:3" ht="14.25" customHeight="1" x14ac:dyDescent="0.3"/>
    <row r="71" spans="1:3" ht="14.25" customHeight="1" x14ac:dyDescent="0.3"/>
    <row r="72" spans="1:3" ht="14.25" customHeight="1" x14ac:dyDescent="0.3"/>
    <row r="73" spans="1:3" ht="14.25" customHeight="1" x14ac:dyDescent="0.3"/>
    <row r="74" spans="1:3" ht="14.25" customHeight="1" x14ac:dyDescent="0.3"/>
    <row r="75" spans="1:3" ht="14.25" customHeight="1" x14ac:dyDescent="0.3"/>
    <row r="76" spans="1:3" ht="14.25" customHeight="1" x14ac:dyDescent="0.3"/>
    <row r="77" spans="1:3" ht="14.25" customHeight="1" x14ac:dyDescent="0.3"/>
    <row r="78" spans="1:3" ht="14.25" customHeight="1" x14ac:dyDescent="0.3"/>
    <row r="79" spans="1:3" ht="14.25" customHeight="1" x14ac:dyDescent="0.3"/>
    <row r="80" spans="1:3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A47:F47"/>
    <mergeCell ref="A59:F59"/>
    <mergeCell ref="A1:F1"/>
    <mergeCell ref="A3:F3"/>
    <mergeCell ref="A14:F14"/>
    <mergeCell ref="A25:F25"/>
    <mergeCell ref="A36:F36"/>
  </mergeCells>
  <dataValidations count="1">
    <dataValidation type="list" allowBlank="1" showInputMessage="1" showErrorMessage="1" prompt="Status - Select task status" sqref="E5:E11 E16:E22 E27:E33 E38:E44 E49:E55" xr:uid="{00000000-0002-0000-0300-000000000000}">
      <formula1>"✅ Done,🔄 In Progress,⏳ Not Started,⚠️ Blocked"</formula1>
    </dataValidation>
  </dataValidations>
  <pageMargins left="0.75" right="0.75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Sprint_1</vt:lpstr>
      <vt:lpstr>📊 Dashboard</vt:lpstr>
      <vt:lpstr>Sprint_2</vt:lpstr>
      <vt:lpstr>Sprint_3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shady gamal</cp:lastModifiedBy>
  <dcterms:modified xsi:type="dcterms:W3CDTF">2026-04-11T07:22:11Z</dcterms:modified>
</cp:coreProperties>
</file>